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achelchen/Desktop/"/>
    </mc:Choice>
  </mc:AlternateContent>
  <xr:revisionPtr revIDLastSave="0" documentId="13_ncr:1_{49001D3C-7CEF-3344-8827-9C558803C9B4}" xr6:coauthVersionLast="47" xr6:coauthVersionMax="47" xr10:uidLastSave="{00000000-0000-0000-0000-000000000000}"/>
  <bookViews>
    <workbookView xWindow="2520" yWindow="1780" windowWidth="25140" windowHeight="15880" tabRatio="500" xr2:uid="{00000000-000D-0000-FFFF-FFFF00000000}"/>
  </bookViews>
  <sheets>
    <sheet name="Weekly_Cash_Flow_Summary" sheetId="1" r:id="rId1"/>
    <sheet name="Cash_Balance" sheetId="6" r:id="rId2"/>
    <sheet name="AR_detail" sheetId="2" r:id="rId3"/>
    <sheet name="AP_detail" sheetId="4" r:id="rId4"/>
    <sheet name="Customer_list" sheetId="3" r:id="rId5"/>
    <sheet name="Vendor_list" sheetId="5" r:id="rId6"/>
  </sheets>
  <definedNames>
    <definedName name="_xlnm._FilterDatabase" localSheetId="2" hidden="1">AR_detail!$A$1:$M$121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E2" i="6"/>
  <c r="B4" i="1" s="1"/>
  <c r="B7" i="6"/>
  <c r="B3" i="1"/>
  <c r="L5" i="2"/>
  <c r="F2" i="5" l="1"/>
  <c r="H14" i="3"/>
  <c r="L4" i="4"/>
  <c r="B8" i="1"/>
  <c r="H11" i="3" l="1"/>
  <c r="B9" i="1"/>
  <c r="B7" i="1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G101" i="4"/>
  <c r="F101" i="4" s="1" a="1"/>
  <c r="F101" i="4" s="1"/>
  <c r="D101" i="4"/>
  <c r="B101" i="4"/>
  <c r="G100" i="4"/>
  <c r="F100" i="4" s="1" a="1"/>
  <c r="F100" i="4" s="1"/>
  <c r="D100" i="4"/>
  <c r="B100" i="4"/>
  <c r="L99" i="4"/>
  <c r="G99" i="4"/>
  <c r="F99" i="4" s="1" a="1"/>
  <c r="F99" i="4" s="1"/>
  <c r="D99" i="4"/>
  <c r="B99" i="4"/>
  <c r="G98" i="4"/>
  <c r="F98" i="4" s="1" a="1"/>
  <c r="F98" i="4" s="1"/>
  <c r="D98" i="4"/>
  <c r="B98" i="4"/>
  <c r="G97" i="4"/>
  <c r="F97" i="4" s="1" a="1"/>
  <c r="F97" i="4" s="1"/>
  <c r="L97" i="4" s="1"/>
  <c r="D97" i="4"/>
  <c r="B97" i="4"/>
  <c r="G96" i="4"/>
  <c r="F96" i="4" s="1" a="1"/>
  <c r="F96" i="4" s="1"/>
  <c r="L96" i="4" s="1"/>
  <c r="D96" i="4"/>
  <c r="B96" i="4"/>
  <c r="G95" i="4"/>
  <c r="F95" i="4" s="1" a="1"/>
  <c r="F95" i="4" s="1"/>
  <c r="L95" i="4" s="1"/>
  <c r="D95" i="4"/>
  <c r="B95" i="4"/>
  <c r="L94" i="4"/>
  <c r="G94" i="4"/>
  <c r="F94" i="4" s="1" a="1"/>
  <c r="F94" i="4" s="1"/>
  <c r="D94" i="4"/>
  <c r="B94" i="4"/>
  <c r="L93" i="4"/>
  <c r="G93" i="4"/>
  <c r="F93" i="4" s="1" a="1"/>
  <c r="F93" i="4" s="1"/>
  <c r="D93" i="4"/>
  <c r="B93" i="4"/>
  <c r="G92" i="4"/>
  <c r="F92" i="4" s="1" a="1"/>
  <c r="F92" i="4" s="1"/>
  <c r="L92" i="4" s="1"/>
  <c r="D92" i="4"/>
  <c r="B92" i="4"/>
  <c r="G91" i="4"/>
  <c r="F91" i="4" s="1" a="1"/>
  <c r="F91" i="4" s="1"/>
  <c r="L91" i="4" s="1"/>
  <c r="D91" i="4"/>
  <c r="B91" i="4"/>
  <c r="G90" i="4"/>
  <c r="F90" i="4" s="1" a="1"/>
  <c r="F90" i="4" s="1"/>
  <c r="L90" i="4" s="1"/>
  <c r="D90" i="4"/>
  <c r="B90" i="4"/>
  <c r="L89" i="4"/>
  <c r="G89" i="4"/>
  <c r="F89" i="4" s="1" a="1"/>
  <c r="F89" i="4" s="1"/>
  <c r="D89" i="4"/>
  <c r="B89" i="4"/>
  <c r="G88" i="4"/>
  <c r="F88" i="4" s="1" a="1"/>
  <c r="F88" i="4" s="1"/>
  <c r="L88" i="4" s="1"/>
  <c r="D88" i="4"/>
  <c r="B88" i="4"/>
  <c r="G87" i="4"/>
  <c r="F87" i="4" s="1" a="1"/>
  <c r="F87" i="4" s="1"/>
  <c r="D87" i="4"/>
  <c r="B87" i="4"/>
  <c r="G86" i="4"/>
  <c r="F86" i="4" a="1"/>
  <c r="F86" i="4" s="1"/>
  <c r="L86" i="4" s="1"/>
  <c r="D86" i="4"/>
  <c r="B86" i="4"/>
  <c r="G85" i="4"/>
  <c r="F85" i="4" s="1" a="1"/>
  <c r="F85" i="4" s="1"/>
  <c r="L85" i="4" s="1"/>
  <c r="D85" i="4"/>
  <c r="B85" i="4"/>
  <c r="G84" i="4"/>
  <c r="F84" i="4" s="1" a="1"/>
  <c r="F84" i="4" s="1"/>
  <c r="L84" i="4" s="1"/>
  <c r="D84" i="4"/>
  <c r="B84" i="4"/>
  <c r="L83" i="4"/>
  <c r="G83" i="4"/>
  <c r="F83" i="4" s="1" a="1"/>
  <c r="F83" i="4" s="1"/>
  <c r="D83" i="4"/>
  <c r="B83" i="4"/>
  <c r="L82" i="4"/>
  <c r="G82" i="4"/>
  <c r="F82" i="4" s="1" a="1"/>
  <c r="F82" i="4" s="1"/>
  <c r="D82" i="4"/>
  <c r="B82" i="4"/>
  <c r="L81" i="4"/>
  <c r="G81" i="4"/>
  <c r="F81" i="4" a="1"/>
  <c r="F81" i="4" s="1"/>
  <c r="D81" i="4"/>
  <c r="B81" i="4"/>
  <c r="G80" i="4"/>
  <c r="F80" i="4" s="1" a="1"/>
  <c r="F80" i="4" s="1"/>
  <c r="D80" i="4"/>
  <c r="B80" i="4"/>
  <c r="L79" i="4"/>
  <c r="G79" i="4"/>
  <c r="F79" i="4" a="1"/>
  <c r="F79" i="4" s="1"/>
  <c r="D79" i="4"/>
  <c r="B79" i="4"/>
  <c r="L78" i="4"/>
  <c r="G78" i="4"/>
  <c r="F78" i="4" s="1" a="1"/>
  <c r="F78" i="4" s="1"/>
  <c r="D78" i="4"/>
  <c r="B78" i="4"/>
  <c r="G77" i="4"/>
  <c r="F77" i="4" s="1" a="1"/>
  <c r="F77" i="4" s="1"/>
  <c r="L77" i="4" s="1"/>
  <c r="D77" i="4"/>
  <c r="B77" i="4"/>
  <c r="G76" i="4"/>
  <c r="F76" i="4" s="1" a="1"/>
  <c r="F76" i="4" s="1"/>
  <c r="D76" i="4"/>
  <c r="B76" i="4"/>
  <c r="L75" i="4"/>
  <c r="G75" i="4"/>
  <c r="F75" i="4" a="1"/>
  <c r="F75" i="4" s="1"/>
  <c r="D75" i="4"/>
  <c r="B75" i="4"/>
  <c r="L74" i="4"/>
  <c r="G74" i="4"/>
  <c r="F74" i="4" s="1" a="1"/>
  <c r="F74" i="4" s="1"/>
  <c r="D74" i="4"/>
  <c r="B74" i="4"/>
  <c r="G73" i="4"/>
  <c r="F73" i="4" s="1" a="1"/>
  <c r="F73" i="4" s="1"/>
  <c r="L73" i="4" s="1"/>
  <c r="D73" i="4"/>
  <c r="B73" i="4"/>
  <c r="L72" i="4"/>
  <c r="G72" i="4"/>
  <c r="F72" i="4" s="1" a="1"/>
  <c r="F72" i="4" s="1"/>
  <c r="D72" i="4"/>
  <c r="B72" i="4"/>
  <c r="G71" i="4"/>
  <c r="F71" i="4" a="1"/>
  <c r="F71" i="4" s="1"/>
  <c r="L71" i="4" s="1"/>
  <c r="D71" i="4"/>
  <c r="B71" i="4"/>
  <c r="L70" i="4"/>
  <c r="G70" i="4"/>
  <c r="F70" i="4" s="1" a="1"/>
  <c r="F70" i="4" s="1"/>
  <c r="D70" i="4"/>
  <c r="B70" i="4"/>
  <c r="L69" i="4"/>
  <c r="G69" i="4"/>
  <c r="F69" i="4" s="1" a="1"/>
  <c r="F69" i="4" s="1"/>
  <c r="D69" i="4"/>
  <c r="B69" i="4"/>
  <c r="L68" i="4"/>
  <c r="G68" i="4"/>
  <c r="F68" i="4" s="1" a="1"/>
  <c r="F68" i="4" s="1"/>
  <c r="D68" i="4"/>
  <c r="B68" i="4"/>
  <c r="L67" i="4"/>
  <c r="G67" i="4"/>
  <c r="F67" i="4" s="1" a="1"/>
  <c r="F67" i="4" s="1"/>
  <c r="D67" i="4"/>
  <c r="B67" i="4"/>
  <c r="G66" i="4"/>
  <c r="F66" i="4" a="1"/>
  <c r="F66" i="4" s="1"/>
  <c r="L66" i="4" s="1"/>
  <c r="D66" i="4"/>
  <c r="B66" i="4"/>
  <c r="G65" i="4"/>
  <c r="F65" i="4" s="1" a="1"/>
  <c r="F65" i="4" s="1"/>
  <c r="L65" i="4" s="1"/>
  <c r="D65" i="4"/>
  <c r="B65" i="4"/>
  <c r="L64" i="4"/>
  <c r="G64" i="4"/>
  <c r="F64" i="4" s="1" a="1"/>
  <c r="F64" i="4" s="1"/>
  <c r="D64" i="4"/>
  <c r="B64" i="4"/>
  <c r="G63" i="4"/>
  <c r="F63" i="4" s="1" a="1"/>
  <c r="F63" i="4" s="1"/>
  <c r="L63" i="4" s="1"/>
  <c r="D63" i="4"/>
  <c r="B63" i="4"/>
  <c r="G62" i="4"/>
  <c r="F62" i="4" s="1" a="1"/>
  <c r="F62" i="4" s="1"/>
  <c r="L62" i="4" s="1"/>
  <c r="D62" i="4"/>
  <c r="B62" i="4"/>
  <c r="G61" i="4"/>
  <c r="F61" i="4" s="1" a="1"/>
  <c r="F61" i="4" s="1"/>
  <c r="D61" i="4"/>
  <c r="B61" i="4"/>
  <c r="G60" i="4"/>
  <c r="F60" i="4" s="1" a="1"/>
  <c r="F60" i="4" s="1"/>
  <c r="D60" i="4"/>
  <c r="B60" i="4"/>
  <c r="G59" i="4"/>
  <c r="F59" i="4" s="1" a="1"/>
  <c r="F59" i="4" s="1"/>
  <c r="L59" i="4" s="1"/>
  <c r="D59" i="4"/>
  <c r="B59" i="4"/>
  <c r="L58" i="4"/>
  <c r="G58" i="4"/>
  <c r="F58" i="4" s="1" a="1"/>
  <c r="F58" i="4" s="1"/>
  <c r="D58" i="4"/>
  <c r="B58" i="4"/>
  <c r="G57" i="4"/>
  <c r="F57" i="4" s="1" a="1"/>
  <c r="F57" i="4" s="1"/>
  <c r="D57" i="4"/>
  <c r="B57" i="4"/>
  <c r="G56" i="4"/>
  <c r="F56" i="4" a="1"/>
  <c r="F56" i="4" s="1"/>
  <c r="L56" i="4" s="1"/>
  <c r="D56" i="4"/>
  <c r="B56" i="4"/>
  <c r="L55" i="4"/>
  <c r="G55" i="4"/>
  <c r="F55" i="4" s="1" a="1"/>
  <c r="F55" i="4" s="1"/>
  <c r="D55" i="4"/>
  <c r="B55" i="4"/>
  <c r="L54" i="4"/>
  <c r="G54" i="4"/>
  <c r="F54" i="4" s="1" a="1"/>
  <c r="F54" i="4" s="1"/>
  <c r="D54" i="4"/>
  <c r="B54" i="4"/>
  <c r="G53" i="4"/>
  <c r="F53" i="4" s="1" a="1"/>
  <c r="F53" i="4" s="1"/>
  <c r="L53" i="4" s="1"/>
  <c r="D53" i="4"/>
  <c r="B53" i="4"/>
  <c r="L52" i="4"/>
  <c r="G52" i="4"/>
  <c r="F52" i="4" s="1" a="1"/>
  <c r="F52" i="4" s="1"/>
  <c r="D52" i="4"/>
  <c r="B52" i="4"/>
  <c r="L51" i="4"/>
  <c r="G51" i="4"/>
  <c r="F51" i="4" a="1"/>
  <c r="F51" i="4" s="1"/>
  <c r="D51" i="4"/>
  <c r="B51" i="4"/>
  <c r="L50" i="4"/>
  <c r="G50" i="4"/>
  <c r="F50" i="4" a="1"/>
  <c r="F50" i="4" s="1"/>
  <c r="D50" i="4"/>
  <c r="B50" i="4"/>
  <c r="G49" i="4"/>
  <c r="F49" i="4" s="1" a="1"/>
  <c r="F49" i="4" s="1"/>
  <c r="L49" i="4" s="1"/>
  <c r="D49" i="4"/>
  <c r="B49" i="4"/>
  <c r="L48" i="4"/>
  <c r="G48" i="4"/>
  <c r="F48" i="4" s="1" a="1"/>
  <c r="F48" i="4" s="1"/>
  <c r="D48" i="4"/>
  <c r="B48" i="4"/>
  <c r="G47" i="4"/>
  <c r="F47" i="4" s="1" a="1"/>
  <c r="F47" i="4" s="1"/>
  <c r="L47" i="4" s="1"/>
  <c r="D47" i="4"/>
  <c r="B47" i="4"/>
  <c r="L46" i="4"/>
  <c r="G46" i="4"/>
  <c r="F46" i="4" a="1"/>
  <c r="F46" i="4" s="1"/>
  <c r="D46" i="4"/>
  <c r="B46" i="4"/>
  <c r="G45" i="4"/>
  <c r="F45" i="4" s="1" a="1"/>
  <c r="F45" i="4" s="1"/>
  <c r="L45" i="4" s="1"/>
  <c r="D45" i="4"/>
  <c r="B45" i="4"/>
  <c r="L44" i="4"/>
  <c r="G44" i="4"/>
  <c r="F44" i="4" s="1" a="1"/>
  <c r="F44" i="4" s="1"/>
  <c r="D44" i="4"/>
  <c r="B44" i="4"/>
  <c r="L43" i="4"/>
  <c r="G43" i="4"/>
  <c r="F43" i="4" s="1" a="1"/>
  <c r="F43" i="4" s="1"/>
  <c r="D43" i="4"/>
  <c r="B43" i="4"/>
  <c r="L42" i="4"/>
  <c r="G42" i="4"/>
  <c r="F42" i="4" s="1" a="1"/>
  <c r="F42" i="4" s="1"/>
  <c r="D42" i="4"/>
  <c r="B42" i="4"/>
  <c r="G41" i="4"/>
  <c r="F41" i="4" s="1" a="1"/>
  <c r="F41" i="4" s="1"/>
  <c r="L41" i="4" s="1"/>
  <c r="D41" i="4"/>
  <c r="B41" i="4"/>
  <c r="G40" i="4"/>
  <c r="F40" i="4" s="1" a="1"/>
  <c r="F40" i="4" s="1"/>
  <c r="L40" i="4" s="1"/>
  <c r="D40" i="4"/>
  <c r="B40" i="4"/>
  <c r="L39" i="4"/>
  <c r="G39" i="4"/>
  <c r="F39" i="4" a="1"/>
  <c r="F39" i="4" s="1"/>
  <c r="D39" i="4"/>
  <c r="B39" i="4"/>
  <c r="L38" i="4"/>
  <c r="G38" i="4"/>
  <c r="F38" i="4" s="1" a="1"/>
  <c r="F38" i="4" s="1"/>
  <c r="D38" i="4"/>
  <c r="B38" i="4"/>
  <c r="G37" i="4"/>
  <c r="F37" i="4" s="1" a="1"/>
  <c r="F37" i="4" s="1"/>
  <c r="L37" i="4" s="1"/>
  <c r="D37" i="4"/>
  <c r="B37" i="4"/>
  <c r="L36" i="4"/>
  <c r="G36" i="4"/>
  <c r="F36" i="4" s="1" a="1"/>
  <c r="F36" i="4" s="1"/>
  <c r="D36" i="4"/>
  <c r="B36" i="4"/>
  <c r="G35" i="4"/>
  <c r="F35" i="4" a="1"/>
  <c r="F35" i="4" s="1"/>
  <c r="D35" i="4"/>
  <c r="B35" i="4"/>
  <c r="L34" i="4"/>
  <c r="G34" i="4"/>
  <c r="F34" i="4" s="1" a="1"/>
  <c r="F34" i="4" s="1"/>
  <c r="D34" i="4"/>
  <c r="B34" i="4"/>
  <c r="L33" i="4"/>
  <c r="G33" i="4"/>
  <c r="F33" i="4" s="1" a="1"/>
  <c r="F33" i="4" s="1"/>
  <c r="D33" i="4"/>
  <c r="B33" i="4"/>
  <c r="L32" i="4"/>
  <c r="G32" i="4"/>
  <c r="F32" i="4" s="1" a="1"/>
  <c r="F32" i="4" s="1"/>
  <c r="D32" i="4"/>
  <c r="B32" i="4"/>
  <c r="L31" i="4"/>
  <c r="G31" i="4"/>
  <c r="F31" i="4" s="1" a="1"/>
  <c r="F31" i="4" s="1"/>
  <c r="D31" i="4"/>
  <c r="B31" i="4"/>
  <c r="G30" i="4"/>
  <c r="F30" i="4" s="1" a="1"/>
  <c r="F30" i="4" s="1"/>
  <c r="L30" i="4" s="1"/>
  <c r="D30" i="4"/>
  <c r="B30" i="4"/>
  <c r="G29" i="4"/>
  <c r="F29" i="4" s="1" a="1"/>
  <c r="F29" i="4" s="1"/>
  <c r="L29" i="4" s="1"/>
  <c r="D29" i="4"/>
  <c r="B29" i="4"/>
  <c r="G28" i="4"/>
  <c r="F28" i="4" s="1" a="1"/>
  <c r="F28" i="4" s="1"/>
  <c r="L28" i="4" s="1"/>
  <c r="D28" i="4"/>
  <c r="B28" i="4"/>
  <c r="G27" i="4"/>
  <c r="F27" i="4" s="1" a="1"/>
  <c r="F27" i="4" s="1"/>
  <c r="D27" i="4"/>
  <c r="B27" i="4"/>
  <c r="G26" i="4"/>
  <c r="F26" i="4" s="1" a="1"/>
  <c r="F26" i="4" s="1"/>
  <c r="L26" i="4" s="1"/>
  <c r="D26" i="4"/>
  <c r="B26" i="4"/>
  <c r="G25" i="4"/>
  <c r="F25" i="4" s="1" a="1"/>
  <c r="F25" i="4" s="1"/>
  <c r="L25" i="4" s="1"/>
  <c r="D25" i="4"/>
  <c r="B25" i="4"/>
  <c r="L24" i="4"/>
  <c r="G24" i="4"/>
  <c r="F24" i="4" s="1" a="1"/>
  <c r="F24" i="4" s="1"/>
  <c r="D24" i="4"/>
  <c r="B24" i="4"/>
  <c r="G23" i="4"/>
  <c r="F23" i="4" a="1"/>
  <c r="F23" i="4" s="1"/>
  <c r="L23" i="4" s="1"/>
  <c r="D23" i="4"/>
  <c r="B23" i="4"/>
  <c r="G22" i="4"/>
  <c r="F22" i="4" s="1" a="1"/>
  <c r="F22" i="4" s="1"/>
  <c r="D22" i="4"/>
  <c r="B22" i="4"/>
  <c r="G21" i="4"/>
  <c r="F21" i="4" a="1"/>
  <c r="F21" i="4" s="1"/>
  <c r="L21" i="4" s="1"/>
  <c r="D21" i="4"/>
  <c r="B21" i="4"/>
  <c r="G20" i="4"/>
  <c r="F20" i="4" a="1"/>
  <c r="F20" i="4" s="1"/>
  <c r="L20" i="4" s="1"/>
  <c r="D20" i="4"/>
  <c r="B20" i="4"/>
  <c r="G19" i="4"/>
  <c r="F19" i="4" a="1"/>
  <c r="F19" i="4" s="1"/>
  <c r="L19" i="4" s="1"/>
  <c r="D19" i="4"/>
  <c r="B19" i="4"/>
  <c r="G18" i="4"/>
  <c r="F18" i="4" s="1" a="1"/>
  <c r="F18" i="4" s="1"/>
  <c r="L18" i="4" s="1"/>
  <c r="D18" i="4"/>
  <c r="B18" i="4"/>
  <c r="G17" i="4"/>
  <c r="F17" i="4" s="1" a="1"/>
  <c r="F17" i="4" s="1"/>
  <c r="L17" i="4" s="1"/>
  <c r="D17" i="4"/>
  <c r="B17" i="4"/>
  <c r="G16" i="4"/>
  <c r="F16" i="4" a="1"/>
  <c r="F16" i="4" s="1"/>
  <c r="L16" i="4" s="1"/>
  <c r="D16" i="4"/>
  <c r="B16" i="4"/>
  <c r="G15" i="4"/>
  <c r="F15" i="4" s="1" a="1"/>
  <c r="F15" i="4" s="1"/>
  <c r="L15" i="4" s="1"/>
  <c r="D15" i="4"/>
  <c r="B15" i="4"/>
  <c r="G14" i="4"/>
  <c r="F14" i="4" s="1" a="1"/>
  <c r="F14" i="4" s="1"/>
  <c r="L14" i="4" s="1"/>
  <c r="D14" i="4"/>
  <c r="B14" i="4"/>
  <c r="G13" i="4"/>
  <c r="F13" i="4" s="1" a="1"/>
  <c r="F13" i="4" s="1"/>
  <c r="L13" i="4" s="1"/>
  <c r="D13" i="4"/>
  <c r="B13" i="4"/>
  <c r="L12" i="4"/>
  <c r="G12" i="4"/>
  <c r="F12" i="4" s="1" a="1"/>
  <c r="F12" i="4" s="1"/>
  <c r="D12" i="4"/>
  <c r="B12" i="4"/>
  <c r="L11" i="4"/>
  <c r="G11" i="4"/>
  <c r="F11" i="4" s="1" a="1"/>
  <c r="F11" i="4" s="1"/>
  <c r="D11" i="4"/>
  <c r="B11" i="4"/>
  <c r="L10" i="4"/>
  <c r="G10" i="4"/>
  <c r="F10" i="4" s="1" a="1"/>
  <c r="F10" i="4" s="1"/>
  <c r="D10" i="4"/>
  <c r="B10" i="4"/>
  <c r="G9" i="4"/>
  <c r="F9" i="4" s="1" a="1"/>
  <c r="F9" i="4" s="1"/>
  <c r="L9" i="4" s="1"/>
  <c r="D9" i="4"/>
  <c r="B9" i="4"/>
  <c r="L8" i="4"/>
  <c r="G8" i="4"/>
  <c r="F8" i="4" s="1" a="1"/>
  <c r="F8" i="4" s="1"/>
  <c r="D8" i="4"/>
  <c r="B8" i="4"/>
  <c r="G7" i="4"/>
  <c r="F7" i="4" s="1" a="1"/>
  <c r="F7" i="4" s="1"/>
  <c r="L7" i="4" s="1"/>
  <c r="D7" i="4"/>
  <c r="B7" i="4"/>
  <c r="L6" i="4"/>
  <c r="G6" i="4"/>
  <c r="F6" i="4" s="1" a="1"/>
  <c r="F6" i="4" s="1"/>
  <c r="D6" i="4"/>
  <c r="B6" i="4"/>
  <c r="L5" i="4"/>
  <c r="G5" i="4"/>
  <c r="F5" i="4" a="1"/>
  <c r="F5" i="4"/>
  <c r="D5" i="4"/>
  <c r="B5" i="4"/>
  <c r="G4" i="4"/>
  <c r="F4" i="4" s="1" a="1"/>
  <c r="F4" i="4" s="1"/>
  <c r="D4" i="4"/>
  <c r="B4" i="4"/>
  <c r="G3" i="4"/>
  <c r="F3" i="4" a="1"/>
  <c r="F3" i="4" s="1"/>
  <c r="D3" i="4"/>
  <c r="B3" i="4"/>
  <c r="G2" i="4"/>
  <c r="F2" i="4" s="1" a="1"/>
  <c r="F2" i="4" s="1"/>
  <c r="D2" i="4"/>
  <c r="B2" i="4"/>
  <c r="H21" i="3"/>
  <c r="G21" i="3"/>
  <c r="I118" i="2" s="1"/>
  <c r="H20" i="3"/>
  <c r="G20" i="3"/>
  <c r="I88" i="2" s="1"/>
  <c r="H19" i="3"/>
  <c r="G19" i="3"/>
  <c r="H18" i="3"/>
  <c r="G18" i="3"/>
  <c r="I25" i="2" s="1"/>
  <c r="M25" i="2" s="1"/>
  <c r="H17" i="3"/>
  <c r="G17" i="3"/>
  <c r="I101" i="2" s="1"/>
  <c r="H16" i="3"/>
  <c r="G16" i="3"/>
  <c r="I82" i="2" s="1"/>
  <c r="H15" i="3"/>
  <c r="G15" i="3"/>
  <c r="I102" i="2" s="1"/>
  <c r="G14" i="3"/>
  <c r="H13" i="3"/>
  <c r="G13" i="3"/>
  <c r="I78" i="2" s="1"/>
  <c r="H12" i="3"/>
  <c r="G12" i="3"/>
  <c r="I87" i="2" s="1"/>
  <c r="M87" i="2" s="1"/>
  <c r="G11" i="3"/>
  <c r="I44" i="2" s="1"/>
  <c r="H10" i="3"/>
  <c r="G10" i="3"/>
  <c r="I106" i="2" s="1"/>
  <c r="H9" i="3"/>
  <c r="G9" i="3"/>
  <c r="H8" i="3"/>
  <c r="G8" i="3"/>
  <c r="H7" i="3"/>
  <c r="G7" i="3"/>
  <c r="I30" i="2" s="1"/>
  <c r="H6" i="3"/>
  <c r="G6" i="3"/>
  <c r="I37" i="2" s="1"/>
  <c r="H5" i="3"/>
  <c r="G5" i="3"/>
  <c r="I86" i="2" s="1"/>
  <c r="H4" i="3"/>
  <c r="G4" i="3"/>
  <c r="H3" i="3"/>
  <c r="G3" i="3"/>
  <c r="H2" i="3"/>
  <c r="G2" i="3"/>
  <c r="I90" i="2" s="1"/>
  <c r="I121" i="2"/>
  <c r="F121" i="2" a="1"/>
  <c r="F121" i="2" s="1"/>
  <c r="L121" i="2" s="1"/>
  <c r="F120" i="2" a="1"/>
  <c r="F120" i="2" s="1"/>
  <c r="L120" i="2" s="1"/>
  <c r="F119" i="2" a="1"/>
  <c r="F119" i="2" s="1"/>
  <c r="L119" i="2" s="1"/>
  <c r="F118" i="2" a="1"/>
  <c r="F118" i="2" s="1"/>
  <c r="L118" i="2" s="1"/>
  <c r="I117" i="2"/>
  <c r="F117" i="2" a="1"/>
  <c r="F117" i="2" s="1"/>
  <c r="L117" i="2" s="1"/>
  <c r="F116" i="2" a="1"/>
  <c r="F116" i="2" s="1"/>
  <c r="L116" i="2" s="1"/>
  <c r="I115" i="2"/>
  <c r="F115" i="2" a="1"/>
  <c r="F115" i="2" s="1"/>
  <c r="L115" i="2" s="1"/>
  <c r="L114" i="2"/>
  <c r="I114" i="2"/>
  <c r="F114" i="2" a="1"/>
  <c r="F114" i="2" s="1"/>
  <c r="I113" i="2"/>
  <c r="F113" i="2" a="1"/>
  <c r="F113" i="2" s="1"/>
  <c r="L113" i="2" s="1"/>
  <c r="I112" i="2"/>
  <c r="F112" i="2" a="1"/>
  <c r="F112" i="2" s="1"/>
  <c r="L112" i="2" s="1"/>
  <c r="L111" i="2"/>
  <c r="I111" i="2"/>
  <c r="F111" i="2" a="1"/>
  <c r="F111" i="2" s="1"/>
  <c r="F110" i="2" a="1"/>
  <c r="F110" i="2" s="1"/>
  <c r="L109" i="2"/>
  <c r="I109" i="2"/>
  <c r="M109" i="2" s="1"/>
  <c r="F109" i="2" a="1"/>
  <c r="F109" i="2" s="1"/>
  <c r="L108" i="2"/>
  <c r="F108" i="2" a="1"/>
  <c r="F108" i="2" s="1"/>
  <c r="L107" i="2"/>
  <c r="I107" i="2"/>
  <c r="F107" i="2" a="1"/>
  <c r="F107" i="2" s="1"/>
  <c r="F106" i="2" a="1"/>
  <c r="F106" i="2" s="1"/>
  <c r="L106" i="2" s="1"/>
  <c r="L105" i="2"/>
  <c r="I105" i="2"/>
  <c r="M105" i="2" s="1"/>
  <c r="F105" i="2" a="1"/>
  <c r="F105" i="2" s="1"/>
  <c r="F104" i="2" a="1"/>
  <c r="F104" i="2" s="1"/>
  <c r="L104" i="2" s="1"/>
  <c r="F103" i="2" a="1"/>
  <c r="F103" i="2" s="1"/>
  <c r="L103" i="2" s="1"/>
  <c r="L102" i="2"/>
  <c r="F102" i="2" a="1"/>
  <c r="F102" i="2" s="1"/>
  <c r="F101" i="2" a="1"/>
  <c r="F101" i="2" s="1"/>
  <c r="F100" i="2" a="1"/>
  <c r="F100" i="2" s="1"/>
  <c r="L100" i="2" s="1"/>
  <c r="L99" i="2"/>
  <c r="F99" i="2" a="1"/>
  <c r="F99" i="2" s="1"/>
  <c r="L98" i="2"/>
  <c r="I98" i="2"/>
  <c r="F98" i="2" a="1"/>
  <c r="F98" i="2" s="1"/>
  <c r="F97" i="2" a="1"/>
  <c r="F97" i="2" s="1"/>
  <c r="L96" i="2"/>
  <c r="F96" i="2" a="1"/>
  <c r="F96" i="2"/>
  <c r="I95" i="2"/>
  <c r="F95" i="2" a="1"/>
  <c r="F95" i="2" s="1"/>
  <c r="L95" i="2" s="1"/>
  <c r="F94" i="2" a="1"/>
  <c r="F94" i="2" s="1"/>
  <c r="L94" i="2" s="1"/>
  <c r="L93" i="2"/>
  <c r="F93" i="2" a="1"/>
  <c r="F93" i="2" s="1"/>
  <c r="I92" i="2"/>
  <c r="F92" i="2" a="1"/>
  <c r="F92" i="2" s="1"/>
  <c r="L92" i="2" s="1"/>
  <c r="I91" i="2"/>
  <c r="M91" i="2" s="1"/>
  <c r="F91" i="2" a="1"/>
  <c r="F91" i="2" s="1"/>
  <c r="L91" i="2" s="1"/>
  <c r="L90" i="2"/>
  <c r="F90" i="2" a="1"/>
  <c r="F90" i="2" s="1"/>
  <c r="I89" i="2"/>
  <c r="F89" i="2" a="1"/>
  <c r="F89" i="2" s="1"/>
  <c r="F88" i="2" a="1"/>
  <c r="F88" i="2" s="1"/>
  <c r="L87" i="2"/>
  <c r="F87" i="2" a="1"/>
  <c r="F87" i="2" s="1"/>
  <c r="F86" i="2" a="1"/>
  <c r="F86" i="2" s="1"/>
  <c r="L86" i="2" s="1"/>
  <c r="I85" i="2"/>
  <c r="F85" i="2" a="1"/>
  <c r="F85" i="2" s="1"/>
  <c r="L85" i="2" s="1"/>
  <c r="I84" i="2"/>
  <c r="F84" i="2" a="1"/>
  <c r="F84" i="2" s="1"/>
  <c r="L84" i="2" s="1"/>
  <c r="I83" i="2"/>
  <c r="M83" i="2" s="1"/>
  <c r="F83" i="2" a="1"/>
  <c r="F83" i="2" s="1"/>
  <c r="L83" i="2" s="1"/>
  <c r="F82" i="2" a="1"/>
  <c r="F82" i="2" s="1"/>
  <c r="L82" i="2" s="1"/>
  <c r="F81" i="2" a="1"/>
  <c r="F81" i="2" s="1"/>
  <c r="L80" i="2"/>
  <c r="F80" i="2" a="1"/>
  <c r="F80" i="2" s="1"/>
  <c r="L79" i="2"/>
  <c r="I79" i="2"/>
  <c r="M79" i="2" s="1"/>
  <c r="F79" i="2" a="1"/>
  <c r="F79" i="2" s="1"/>
  <c r="L78" i="2"/>
  <c r="F78" i="2" a="1"/>
  <c r="F78" i="2" s="1"/>
  <c r="F77" i="2" a="1"/>
  <c r="F77" i="2" s="1"/>
  <c r="L77" i="2" s="1"/>
  <c r="I76" i="2"/>
  <c r="F76" i="2" a="1"/>
  <c r="F76" i="2" s="1"/>
  <c r="L76" i="2" s="1"/>
  <c r="F75" i="2" a="1"/>
  <c r="F75" i="2" s="1"/>
  <c r="L75" i="2" s="1"/>
  <c r="L74" i="2"/>
  <c r="F74" i="2" a="1"/>
  <c r="F74" i="2" s="1"/>
  <c r="I73" i="2"/>
  <c r="F73" i="2" a="1"/>
  <c r="F73" i="2" s="1"/>
  <c r="L73" i="2" s="1"/>
  <c r="I72" i="2"/>
  <c r="F72" i="2" a="1"/>
  <c r="F72" i="2" s="1"/>
  <c r="L72" i="2" s="1"/>
  <c r="I71" i="2"/>
  <c r="M71" i="2" s="1"/>
  <c r="F71" i="2" a="1"/>
  <c r="F71" i="2" s="1"/>
  <c r="L71" i="2" s="1"/>
  <c r="I70" i="2"/>
  <c r="F70" i="2" a="1"/>
  <c r="F70" i="2" s="1"/>
  <c r="L70" i="2" s="1"/>
  <c r="L69" i="2"/>
  <c r="F69" i="2" a="1"/>
  <c r="F69" i="2" s="1"/>
  <c r="L68" i="2"/>
  <c r="I68" i="2"/>
  <c r="F68" i="2" a="1"/>
  <c r="F68" i="2" s="1"/>
  <c r="F67" i="2" a="1"/>
  <c r="F67" i="2" s="1"/>
  <c r="L67" i="2" s="1"/>
  <c r="L66" i="2"/>
  <c r="F66" i="2" a="1"/>
  <c r="F66" i="2" s="1"/>
  <c r="L65" i="2"/>
  <c r="I65" i="2"/>
  <c r="M65" i="2" s="1"/>
  <c r="F65" i="2" a="1"/>
  <c r="F65" i="2" s="1"/>
  <c r="L64" i="2"/>
  <c r="I64" i="2"/>
  <c r="F64" i="2" a="1"/>
  <c r="F64" i="2" s="1"/>
  <c r="F63" i="2" a="1"/>
  <c r="F63" i="2" s="1"/>
  <c r="L63" i="2" s="1"/>
  <c r="L62" i="2"/>
  <c r="F62" i="2" a="1"/>
  <c r="F62" i="2" s="1"/>
  <c r="I61" i="2"/>
  <c r="F61" i="2" a="1"/>
  <c r="F61" i="2" s="1"/>
  <c r="L61" i="2" s="1"/>
  <c r="L60" i="2"/>
  <c r="I60" i="2"/>
  <c r="M60" i="2" s="1"/>
  <c r="F60" i="2" a="1"/>
  <c r="F60" i="2" s="1"/>
  <c r="L59" i="2"/>
  <c r="F59" i="2" a="1"/>
  <c r="F59" i="2" s="1"/>
  <c r="I58" i="2"/>
  <c r="F58" i="2" a="1"/>
  <c r="F58" i="2" s="1"/>
  <c r="L58" i="2" s="1"/>
  <c r="I57" i="2"/>
  <c r="M57" i="2" s="1"/>
  <c r="F57" i="2" a="1"/>
  <c r="F57" i="2" s="1"/>
  <c r="L57" i="2" s="1"/>
  <c r="F56" i="2" a="1"/>
  <c r="F56" i="2" s="1"/>
  <c r="L56" i="2" s="1"/>
  <c r="L55" i="2"/>
  <c r="I55" i="2"/>
  <c r="F55" i="2" a="1"/>
  <c r="F55" i="2" s="1"/>
  <c r="L54" i="2"/>
  <c r="I54" i="2"/>
  <c r="F54" i="2" a="1"/>
  <c r="F54" i="2" s="1"/>
  <c r="I53" i="2"/>
  <c r="M53" i="2" s="1"/>
  <c r="F53" i="2" a="1"/>
  <c r="F53" i="2" s="1"/>
  <c r="L53" i="2" s="1"/>
  <c r="F52" i="2" a="1"/>
  <c r="F52" i="2" s="1"/>
  <c r="I51" i="2"/>
  <c r="F51" i="2" a="1"/>
  <c r="F51" i="2" s="1"/>
  <c r="L51" i="2" s="1"/>
  <c r="F50" i="2" a="1"/>
  <c r="F50" i="2" s="1"/>
  <c r="L49" i="2"/>
  <c r="I49" i="2"/>
  <c r="F49" i="2" a="1"/>
  <c r="F49" i="2" s="1"/>
  <c r="F48" i="2" a="1"/>
  <c r="F48" i="2" s="1"/>
  <c r="L48" i="2" s="1"/>
  <c r="I47" i="2"/>
  <c r="M47" i="2" s="1"/>
  <c r="F47" i="2" a="1"/>
  <c r="F47" i="2" s="1"/>
  <c r="L47" i="2" s="1"/>
  <c r="L46" i="2"/>
  <c r="I46" i="2"/>
  <c r="F46" i="2" a="1"/>
  <c r="F46" i="2" s="1"/>
  <c r="L45" i="2"/>
  <c r="I45" i="2"/>
  <c r="F45" i="2" a="1"/>
  <c r="F45" i="2" s="1"/>
  <c r="L44" i="2"/>
  <c r="F44" i="2" a="1"/>
  <c r="F44" i="2" s="1"/>
  <c r="L43" i="2"/>
  <c r="I43" i="2"/>
  <c r="M43" i="2" s="1"/>
  <c r="F43" i="2" a="1"/>
  <c r="F43" i="2" s="1"/>
  <c r="I42" i="2"/>
  <c r="F42" i="2" a="1"/>
  <c r="F42" i="2" s="1"/>
  <c r="L42" i="2" s="1"/>
  <c r="F41" i="2" a="1"/>
  <c r="F41" i="2" s="1"/>
  <c r="L40" i="2"/>
  <c r="I40" i="2"/>
  <c r="F40" i="2" a="1"/>
  <c r="F40" i="2" s="1"/>
  <c r="L39" i="2"/>
  <c r="I39" i="2"/>
  <c r="F39" i="2" a="1"/>
  <c r="F39" i="2"/>
  <c r="L38" i="2"/>
  <c r="F38" i="2" a="1"/>
  <c r="F38" i="2" s="1"/>
  <c r="L37" i="2"/>
  <c r="F37" i="2" a="1"/>
  <c r="F37" i="2" s="1"/>
  <c r="F36" i="2" a="1"/>
  <c r="F36" i="2" s="1"/>
  <c r="L36" i="2" s="1"/>
  <c r="I35" i="2"/>
  <c r="M35" i="2" s="1"/>
  <c r="F35" i="2" a="1"/>
  <c r="F35" i="2" s="1"/>
  <c r="L35" i="2" s="1"/>
  <c r="L34" i="2"/>
  <c r="F34" i="2" a="1"/>
  <c r="F34" i="2" s="1"/>
  <c r="L33" i="2"/>
  <c r="F33" i="2" a="1"/>
  <c r="F33" i="2" s="1"/>
  <c r="I32" i="2"/>
  <c r="F32" i="2" a="1"/>
  <c r="F32" i="2" s="1"/>
  <c r="L32" i="2" s="1"/>
  <c r="L31" i="2"/>
  <c r="F31" i="2" a="1"/>
  <c r="F31" i="2" s="1"/>
  <c r="L30" i="2"/>
  <c r="F30" i="2" a="1"/>
  <c r="F30" i="2" s="1"/>
  <c r="L29" i="2"/>
  <c r="I29" i="2"/>
  <c r="M29" i="2" s="1"/>
  <c r="F29" i="2" a="1"/>
  <c r="F29" i="2" s="1"/>
  <c r="I28" i="2"/>
  <c r="M28" i="2" s="1"/>
  <c r="F28" i="2" a="1"/>
  <c r="F28" i="2" s="1"/>
  <c r="L28" i="2" s="1"/>
  <c r="F27" i="2" a="1"/>
  <c r="F27" i="2" s="1"/>
  <c r="L27" i="2" s="1"/>
  <c r="L26" i="2"/>
  <c r="I26" i="2"/>
  <c r="M26" i="2" s="1"/>
  <c r="F26" i="2" a="1"/>
  <c r="F26" i="2" s="1"/>
  <c r="F25" i="2" a="1"/>
  <c r="F25" i="2" s="1"/>
  <c r="L25" i="2" s="1"/>
  <c r="F24" i="2" a="1"/>
  <c r="F24" i="2" s="1"/>
  <c r="L24" i="2" s="1"/>
  <c r="F23" i="2" a="1"/>
  <c r="F23" i="2" s="1"/>
  <c r="L22" i="2"/>
  <c r="I22" i="2"/>
  <c r="F22" i="2" a="1"/>
  <c r="F22" i="2" s="1"/>
  <c r="L21" i="2"/>
  <c r="I21" i="2"/>
  <c r="F21" i="2" a="1"/>
  <c r="F21" i="2"/>
  <c r="L20" i="2"/>
  <c r="F20" i="2" a="1"/>
  <c r="F20" i="2" s="1"/>
  <c r="I19" i="2"/>
  <c r="M19" i="2" s="1"/>
  <c r="F19" i="2" a="1"/>
  <c r="F19" i="2" s="1"/>
  <c r="L19" i="2" s="1"/>
  <c r="L18" i="2"/>
  <c r="I18" i="2"/>
  <c r="F18" i="2" a="1"/>
  <c r="F18" i="2" s="1"/>
  <c r="L17" i="2"/>
  <c r="I17" i="2"/>
  <c r="M17" i="2" s="1"/>
  <c r="F17" i="2" a="1"/>
  <c r="F17" i="2" s="1"/>
  <c r="L16" i="2"/>
  <c r="F16" i="2" a="1"/>
  <c r="F16" i="2" s="1"/>
  <c r="I15" i="2"/>
  <c r="F15" i="2" a="1"/>
  <c r="F15" i="2" s="1"/>
  <c r="L15" i="2" s="1"/>
  <c r="F14" i="2" a="1"/>
  <c r="F14" i="2" s="1"/>
  <c r="L14" i="2" s="1"/>
  <c r="L13" i="2"/>
  <c r="I13" i="2"/>
  <c r="F13" i="2" a="1"/>
  <c r="F13" i="2" s="1"/>
  <c r="I12" i="2"/>
  <c r="F12" i="2" a="1"/>
  <c r="F12" i="2" s="1"/>
  <c r="L12" i="2" s="1"/>
  <c r="I11" i="2"/>
  <c r="M11" i="2" s="1"/>
  <c r="F11" i="2" a="1"/>
  <c r="F11" i="2" s="1"/>
  <c r="L11" i="2" s="1"/>
  <c r="L10" i="2"/>
  <c r="F10" i="2" a="1"/>
  <c r="F10" i="2" s="1"/>
  <c r="F9" i="2" a="1"/>
  <c r="F9" i="2" s="1"/>
  <c r="L9" i="2" s="1"/>
  <c r="I8" i="2"/>
  <c r="F8" i="2" a="1"/>
  <c r="F8" i="2" s="1"/>
  <c r="L8" i="2" s="1"/>
  <c r="F7" i="2" a="1"/>
  <c r="F7" i="2" s="1"/>
  <c r="L6" i="2"/>
  <c r="F6" i="2" a="1"/>
  <c r="F6" i="2" s="1"/>
  <c r="F5" i="2" a="1"/>
  <c r="F5" i="2" s="1"/>
  <c r="L4" i="2"/>
  <c r="I4" i="2"/>
  <c r="F4" i="2" a="1"/>
  <c r="F4" i="2" s="1"/>
  <c r="L3" i="2"/>
  <c r="F3" i="2" a="1"/>
  <c r="F3" i="2" s="1"/>
  <c r="L2" i="2"/>
  <c r="I2" i="2"/>
  <c r="F2" i="2" a="1"/>
  <c r="F2" i="2" s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M113" i="2" l="1"/>
  <c r="L57" i="4"/>
  <c r="L3" i="4"/>
  <c r="L22" i="4"/>
  <c r="L27" i="4"/>
  <c r="L35" i="4"/>
  <c r="L87" i="4"/>
  <c r="I31" i="2"/>
  <c r="I62" i="2"/>
  <c r="I7" i="2"/>
  <c r="M7" i="2" s="1"/>
  <c r="I120" i="2"/>
  <c r="I27" i="2"/>
  <c r="M27" i="2" s="1"/>
  <c r="L81" i="2"/>
  <c r="I103" i="2"/>
  <c r="M103" i="2" s="1"/>
  <c r="I108" i="2"/>
  <c r="M108" i="2" s="1"/>
  <c r="I36" i="2"/>
  <c r="M36" i="2" s="1"/>
  <c r="I16" i="2"/>
  <c r="L23" i="2"/>
  <c r="L50" i="2"/>
  <c r="I63" i="2"/>
  <c r="L88" i="2"/>
  <c r="I93" i="2"/>
  <c r="M93" i="2" s="1"/>
  <c r="I9" i="2"/>
  <c r="I74" i="2"/>
  <c r="M74" i="2" s="1"/>
  <c r="I66" i="2"/>
  <c r="M66" i="2" s="1"/>
  <c r="I116" i="2"/>
  <c r="M116" i="2" s="1"/>
  <c r="I20" i="2"/>
  <c r="I23" i="2"/>
  <c r="M23" i="2" s="1"/>
  <c r="I50" i="2"/>
  <c r="I67" i="2"/>
  <c r="L89" i="2"/>
  <c r="I5" i="2"/>
  <c r="M5" i="2" s="1"/>
  <c r="I34" i="2"/>
  <c r="I3" i="2"/>
  <c r="I69" i="2"/>
  <c r="M69" i="2" s="1"/>
  <c r="I97" i="2"/>
  <c r="M97" i="2" s="1"/>
  <c r="I110" i="2"/>
  <c r="M110" i="2" s="1"/>
  <c r="I119" i="2"/>
  <c r="M119" i="2" s="1"/>
  <c r="I59" i="2"/>
  <c r="M59" i="2" s="1"/>
  <c r="I24" i="2"/>
  <c r="M24" i="2" s="1"/>
  <c r="I75" i="2"/>
  <c r="M75" i="2" s="1"/>
  <c r="I33" i="2"/>
  <c r="M33" i="2" s="1"/>
  <c r="I52" i="2"/>
  <c r="M52" i="2" s="1"/>
  <c r="I14" i="2"/>
  <c r="M14" i="2" s="1"/>
  <c r="I48" i="2"/>
  <c r="M48" i="2" s="1"/>
  <c r="I56" i="2"/>
  <c r="M56" i="2" s="1"/>
  <c r="I100" i="2"/>
  <c r="M100" i="2" s="1"/>
  <c r="L52" i="2"/>
  <c r="I80" i="2"/>
  <c r="I104" i="2"/>
  <c r="M104" i="2" s="1"/>
  <c r="I10" i="2"/>
  <c r="I6" i="2"/>
  <c r="M6" i="2" s="1"/>
  <c r="L41" i="2"/>
  <c r="I81" i="2"/>
  <c r="M81" i="2" s="1"/>
  <c r="L101" i="2"/>
  <c r="I38" i="2"/>
  <c r="M38" i="2" s="1"/>
  <c r="I41" i="2"/>
  <c r="M41" i="2" s="1"/>
  <c r="L97" i="2"/>
  <c r="M13" i="2"/>
  <c r="M31" i="2"/>
  <c r="M40" i="2"/>
  <c r="M55" i="2"/>
  <c r="M15" i="2"/>
  <c r="M18" i="2"/>
  <c r="M39" i="2"/>
  <c r="M45" i="2"/>
  <c r="M51" i="2"/>
  <c r="M80" i="2"/>
  <c r="M76" i="2"/>
  <c r="M89" i="2"/>
  <c r="M21" i="2"/>
  <c r="M3" i="2"/>
  <c r="M9" i="2"/>
  <c r="M61" i="2"/>
  <c r="M67" i="2"/>
  <c r="L61" i="4"/>
  <c r="L76" i="4"/>
  <c r="L60" i="4"/>
  <c r="L2" i="4"/>
  <c r="M78" i="2"/>
  <c r="M85" i="2"/>
  <c r="M115" i="2"/>
  <c r="M107" i="2"/>
  <c r="M117" i="2"/>
  <c r="M121" i="2"/>
  <c r="M111" i="2"/>
  <c r="M118" i="2"/>
  <c r="M8" i="2"/>
  <c r="M16" i="2"/>
  <c r="M50" i="2"/>
  <c r="M58" i="2"/>
  <c r="M70" i="2"/>
  <c r="M92" i="2"/>
  <c r="M90" i="2"/>
  <c r="I96" i="2"/>
  <c r="M96" i="2" s="1"/>
  <c r="I94" i="2"/>
  <c r="M94" i="2" s="1"/>
  <c r="L101" i="4"/>
  <c r="M63" i="2"/>
  <c r="M68" i="2"/>
  <c r="M73" i="2"/>
  <c r="M95" i="2"/>
  <c r="M98" i="2"/>
  <c r="M84" i="2"/>
  <c r="M114" i="2"/>
  <c r="M64" i="2"/>
  <c r="M2" i="2"/>
  <c r="M12" i="2"/>
  <c r="M44" i="2"/>
  <c r="I77" i="2"/>
  <c r="M77" i="2" s="1"/>
  <c r="I99" i="2"/>
  <c r="M99" i="2" s="1"/>
  <c r="M120" i="2"/>
  <c r="L100" i="4"/>
  <c r="M4" i="2"/>
  <c r="M34" i="2"/>
  <c r="M46" i="2"/>
  <c r="M22" i="2"/>
  <c r="M32" i="2"/>
  <c r="M62" i="2"/>
  <c r="M82" i="2"/>
  <c r="L110" i="2"/>
  <c r="M112" i="2"/>
  <c r="M86" i="2"/>
  <c r="M106" i="2"/>
  <c r="M102" i="2"/>
  <c r="M88" i="2"/>
  <c r="L98" i="4"/>
  <c r="L7" i="2"/>
  <c r="M54" i="2"/>
  <c r="M101" i="2"/>
  <c r="M10" i="2"/>
  <c r="M20" i="2"/>
  <c r="M30" i="2"/>
  <c r="M37" i="2"/>
  <c r="M42" i="2"/>
  <c r="M49" i="2"/>
  <c r="M72" i="2"/>
  <c r="L80" i="4"/>
  <c r="I8" i="1" l="1" a="1"/>
  <c r="I8" i="1" s="1"/>
  <c r="J8" i="1" a="1"/>
  <c r="J8" i="1" s="1"/>
  <c r="I15" i="1"/>
  <c r="J5" i="1"/>
  <c r="J7" i="1"/>
  <c r="J6" i="1"/>
  <c r="J9" i="1" a="1"/>
  <c r="J9" i="1" s="1"/>
  <c r="I13" i="1"/>
  <c r="I6" i="1" a="1"/>
  <c r="I6" i="1" s="1"/>
  <c r="J4" i="1"/>
  <c r="J13" i="1"/>
  <c r="J15" i="1"/>
  <c r="I12" i="1"/>
  <c r="I7" i="1"/>
  <c r="J11" i="1"/>
  <c r="J14" i="1"/>
  <c r="I10" i="1"/>
  <c r="J10" i="1"/>
  <c r="J16" i="1"/>
  <c r="J12" i="1"/>
  <c r="I9" i="1"/>
  <c r="I4" i="1"/>
  <c r="I16" i="1"/>
  <c r="I14" i="1"/>
  <c r="I11" i="1"/>
  <c r="I5" i="1"/>
  <c r="K5" i="1" l="1"/>
  <c r="K15" i="1"/>
  <c r="K9" i="1"/>
  <c r="K7" i="1"/>
  <c r="K16" i="1"/>
  <c r="K4" i="1"/>
  <c r="K12" i="1"/>
  <c r="K6" i="1"/>
  <c r="K10" i="1"/>
  <c r="K11" i="1"/>
  <c r="K13" i="1"/>
  <c r="K14" i="1"/>
  <c r="K8" i="1"/>
  <c r="L4" i="1" l="1"/>
  <c r="M4" i="1" s="1"/>
  <c r="L5" i="1" l="1"/>
  <c r="M5" i="1" s="1"/>
  <c r="L6" i="1" l="1"/>
  <c r="M6" i="1" s="1"/>
  <c r="L7" i="1" l="1"/>
  <c r="L8" i="1"/>
  <c r="M8" i="1" s="1"/>
  <c r="M7" i="1"/>
  <c r="L9" i="1" l="1"/>
  <c r="L10" i="1" s="1"/>
  <c r="M9" i="1" l="1"/>
  <c r="L11" i="1"/>
  <c r="M10" i="1"/>
  <c r="M11" i="1" l="1"/>
  <c r="L12" i="1"/>
  <c r="L13" i="1" l="1"/>
  <c r="M12" i="1"/>
  <c r="L14" i="1" l="1"/>
  <c r="M13" i="1"/>
  <c r="L15" i="1" l="1"/>
  <c r="M14" i="1"/>
  <c r="L16" i="1" l="1"/>
  <c r="M16" i="1" s="1"/>
  <c r="M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<sst xmlns="http://schemas.openxmlformats.org/spreadsheetml/2006/main" count="1381" uniqueCount="367">
  <si>
    <t>13-Week Rolling Cash Flow Forecast</t>
  </si>
  <si>
    <t>Scenario assumption table (edit these to adjust the model)</t>
  </si>
  <si>
    <t>Scenario</t>
  </si>
  <si>
    <t>Best</t>
  </si>
  <si>
    <t>Base</t>
  </si>
  <si>
    <t>Worst</t>
  </si>
  <si>
    <t>Probability_Adjustment</t>
  </si>
  <si>
    <t>AR_Delay_Multiplier</t>
  </si>
  <si>
    <t>AP_Stretch_Multiplier</t>
  </si>
  <si>
    <t>Week</t>
  </si>
  <si>
    <t>Invoice_ID</t>
  </si>
  <si>
    <t>Customer_Code</t>
  </si>
  <si>
    <t>Customer_Name</t>
  </si>
  <si>
    <t>Department</t>
  </si>
  <si>
    <t>Invoice_Date</t>
  </si>
  <si>
    <t>Due_Date</t>
  </si>
  <si>
    <t>Payment_Terms</t>
  </si>
  <si>
    <t>Amount</t>
  </si>
  <si>
    <t>Collection_Probability</t>
  </si>
  <si>
    <t>Status</t>
  </si>
  <si>
    <t>Autual_Collection_Date</t>
  </si>
  <si>
    <t>Expected_Collection_Date</t>
  </si>
  <si>
    <t>Scenario_Adjusted_Probability</t>
  </si>
  <si>
    <t>AR-260001</t>
  </si>
  <si>
    <t>C00007</t>
  </si>
  <si>
    <t>Ironstone Enterprises</t>
  </si>
  <si>
    <t>A</t>
  </si>
  <si>
    <t>EM30</t>
  </si>
  <si>
    <t>Collected</t>
  </si>
  <si>
    <t>AR-260002</t>
  </si>
  <si>
    <t>C00009</t>
  </si>
  <si>
    <t>Westfall Commercial Group</t>
  </si>
  <si>
    <t>AR-260003</t>
  </si>
  <si>
    <t>C00018</t>
  </si>
  <si>
    <t>Lakeshore Retail Co.</t>
  </si>
  <si>
    <t>OA30</t>
  </si>
  <si>
    <t>AR-260004</t>
  </si>
  <si>
    <t>Open</t>
  </si>
  <si>
    <t>AR-260005</t>
  </si>
  <si>
    <t>C00011</t>
  </si>
  <si>
    <t>Riverton Wholesale Ltd.</t>
  </si>
  <si>
    <t>B</t>
  </si>
  <si>
    <t>OA15</t>
  </si>
  <si>
    <t>AR-260006</t>
  </si>
  <si>
    <t>C00005</t>
  </si>
  <si>
    <t>Crestwood Merchandise Inc.</t>
  </si>
  <si>
    <t>C</t>
  </si>
  <si>
    <t>Overdue</t>
  </si>
  <si>
    <t>AR-260007</t>
  </si>
  <si>
    <t>C00013</t>
  </si>
  <si>
    <t>Pinehill Distribution Inc.</t>
  </si>
  <si>
    <t>AR-260008</t>
  </si>
  <si>
    <t>AR-260009</t>
  </si>
  <si>
    <t>C00020</t>
  </si>
  <si>
    <t>Willowmere Commercial Ltd.</t>
  </si>
  <si>
    <t>EM60</t>
  </si>
  <si>
    <t>AR-260010</t>
  </si>
  <si>
    <t>AR-260011</t>
  </si>
  <si>
    <t>C00008</t>
  </si>
  <si>
    <t>Sunridge Retail Partners</t>
  </si>
  <si>
    <t>AR-260012</t>
  </si>
  <si>
    <t>AR-260013</t>
  </si>
  <si>
    <t>AR-260014</t>
  </si>
  <si>
    <t>C00002</t>
  </si>
  <si>
    <t>Northgate Commerce Co.</t>
  </si>
  <si>
    <t>OA60</t>
  </si>
  <si>
    <t>AR-260015</t>
  </si>
  <si>
    <t>C00016</t>
  </si>
  <si>
    <t>Fairview Merchants Ltd.</t>
  </si>
  <si>
    <t>EM15</t>
  </si>
  <si>
    <t>AR-260016</t>
  </si>
  <si>
    <t>AR-260017</t>
  </si>
  <si>
    <t>C00003</t>
  </si>
  <si>
    <t>BluePeak Distributors</t>
  </si>
  <si>
    <t>AR-260018</t>
  </si>
  <si>
    <t>AR-260019</t>
  </si>
  <si>
    <t>C00010</t>
  </si>
  <si>
    <t>Oakhaven Trading Co.</t>
  </si>
  <si>
    <t>AR-260020</t>
  </si>
  <si>
    <t>C00012</t>
  </si>
  <si>
    <t>Goldenbridge Retailers</t>
  </si>
  <si>
    <t>AR-260021</t>
  </si>
  <si>
    <t>AR-260022</t>
  </si>
  <si>
    <t>C00017</t>
  </si>
  <si>
    <t>Cedarpoint Trading Inc.</t>
  </si>
  <si>
    <t>EM45</t>
  </si>
  <si>
    <t>AR-260023</t>
  </si>
  <si>
    <t>C00004</t>
  </si>
  <si>
    <t>Harborview Trading Ltd.</t>
  </si>
  <si>
    <t>AR-260024</t>
  </si>
  <si>
    <t>AR-260025</t>
  </si>
  <si>
    <t>C00014</t>
  </si>
  <si>
    <t>Clearwater Commerce Co.</t>
  </si>
  <si>
    <t>AR-260026</t>
  </si>
  <si>
    <t>C00006</t>
  </si>
  <si>
    <t>Meadowbrook Supply Co.</t>
  </si>
  <si>
    <t>AR-260027</t>
  </si>
  <si>
    <t>AR-260028</t>
  </si>
  <si>
    <t>AR-260029</t>
  </si>
  <si>
    <t>AR-260030</t>
  </si>
  <si>
    <t>C00001</t>
  </si>
  <si>
    <t>Silverline Retail Group</t>
  </si>
  <si>
    <t>AR-260031</t>
  </si>
  <si>
    <t>AR-260032</t>
  </si>
  <si>
    <t>AR-260033</t>
  </si>
  <si>
    <t>AR-260034</t>
  </si>
  <si>
    <t>AR-260035</t>
  </si>
  <si>
    <t>AR-260036</t>
  </si>
  <si>
    <t>AR-260037</t>
  </si>
  <si>
    <t>AR-260038</t>
  </si>
  <si>
    <t>AR-260039</t>
  </si>
  <si>
    <t>AR-260040</t>
  </si>
  <si>
    <t>AR-260041</t>
  </si>
  <si>
    <t>AR-260042</t>
  </si>
  <si>
    <t>AR-260043</t>
  </si>
  <si>
    <t>AR-260044</t>
  </si>
  <si>
    <t>AR-260045</t>
  </si>
  <si>
    <t>AR-260046</t>
  </si>
  <si>
    <t>AR-260047</t>
  </si>
  <si>
    <t>AR-260048</t>
  </si>
  <si>
    <t>AR-260049</t>
  </si>
  <si>
    <t>AR-260050</t>
  </si>
  <si>
    <t>AR-260051</t>
  </si>
  <si>
    <t>AR-260052</t>
  </si>
  <si>
    <t>AR-260053</t>
  </si>
  <si>
    <t>AR-260054</t>
  </si>
  <si>
    <t>AR-260055</t>
  </si>
  <si>
    <t>AR-260056</t>
  </si>
  <si>
    <t>AR-260057</t>
  </si>
  <si>
    <t>AR-260058</t>
  </si>
  <si>
    <t>AR-260059</t>
  </si>
  <si>
    <t>AR-260060</t>
  </si>
  <si>
    <t>AR-260061</t>
  </si>
  <si>
    <t>AR-260062</t>
  </si>
  <si>
    <t>AR-260063</t>
  </si>
  <si>
    <t>AR-260064</t>
  </si>
  <si>
    <t>AR-260065</t>
  </si>
  <si>
    <t>C00015</t>
  </si>
  <si>
    <t>Brightstone Supply Group</t>
  </si>
  <si>
    <t>AR-260066</t>
  </si>
  <si>
    <t>AR-260067</t>
  </si>
  <si>
    <t>AR-260068</t>
  </si>
  <si>
    <t>AR-260069</t>
  </si>
  <si>
    <t>AR-260070</t>
  </si>
  <si>
    <t>AR-260071</t>
  </si>
  <si>
    <t>AR-260072</t>
  </si>
  <si>
    <t>AR-260073</t>
  </si>
  <si>
    <t>AR-260074</t>
  </si>
  <si>
    <t>AR-260075</t>
  </si>
  <si>
    <t>AR-260076</t>
  </si>
  <si>
    <t>AR-260077</t>
  </si>
  <si>
    <t>AR-260078</t>
  </si>
  <si>
    <t>AR-260079</t>
  </si>
  <si>
    <t>AR-260080</t>
  </si>
  <si>
    <t>AR-260081</t>
  </si>
  <si>
    <t>AR-260082</t>
  </si>
  <si>
    <t>AR-260083</t>
  </si>
  <si>
    <t>AR-260084</t>
  </si>
  <si>
    <t>AR-260085</t>
  </si>
  <si>
    <t>AR-260086</t>
  </si>
  <si>
    <t>AR-260087</t>
  </si>
  <si>
    <t>C00019</t>
  </si>
  <si>
    <t>Stonebridge Wholesale Group</t>
  </si>
  <si>
    <t>AR-260088</t>
  </si>
  <si>
    <t>AR-260089</t>
  </si>
  <si>
    <t>AR-260090</t>
  </si>
  <si>
    <t>AR-260091</t>
  </si>
  <si>
    <t>AR-260092</t>
  </si>
  <si>
    <t>AR-260093</t>
  </si>
  <si>
    <t>AR-260094</t>
  </si>
  <si>
    <t>AR-260095</t>
  </si>
  <si>
    <t>AR-260096</t>
  </si>
  <si>
    <t>AR-260097</t>
  </si>
  <si>
    <t>AR-260098</t>
  </si>
  <si>
    <t>AR-260099</t>
  </si>
  <si>
    <t>AR-260100</t>
  </si>
  <si>
    <t>AR-260101</t>
  </si>
  <si>
    <t>AR-260102</t>
  </si>
  <si>
    <t>AR-260103</t>
  </si>
  <si>
    <t>AR-260104</t>
  </si>
  <si>
    <t>AR-260105</t>
  </si>
  <si>
    <t>AR-260106</t>
  </si>
  <si>
    <t>AR-260107</t>
  </si>
  <si>
    <t>AR-260108</t>
  </si>
  <si>
    <t>AR-260109</t>
  </si>
  <si>
    <t>AR-260110</t>
  </si>
  <si>
    <t>AR-260111</t>
  </si>
  <si>
    <t>AR-260112</t>
  </si>
  <si>
    <t>AR-260113</t>
  </si>
  <si>
    <t>AR-260114</t>
  </si>
  <si>
    <t>AR-260115</t>
  </si>
  <si>
    <t>AR-260116</t>
  </si>
  <si>
    <t>AR-260117</t>
  </si>
  <si>
    <t>AR-260118</t>
  </si>
  <si>
    <t>AR-260119</t>
  </si>
  <si>
    <t>AR-260120</t>
  </si>
  <si>
    <t>Payment Habit</t>
  </si>
  <si>
    <t>Credit Limit</t>
  </si>
  <si>
    <t>Habit</t>
  </si>
  <si>
    <t>Base_Probability</t>
  </si>
  <si>
    <t>Typical_Delay_Days</t>
  </si>
  <si>
    <t>Good</t>
  </si>
  <si>
    <t>Average</t>
  </si>
  <si>
    <t>Poor</t>
  </si>
  <si>
    <t>Bill_ID</t>
  </si>
  <si>
    <t>Vendor_Name</t>
  </si>
  <si>
    <t>Vendor_Code</t>
  </si>
  <si>
    <t>Bill_Date</t>
  </si>
  <si>
    <t>Priority</t>
  </si>
  <si>
    <t>Actual_Payment_Date</t>
  </si>
  <si>
    <t>Expected_Payment_Date</t>
  </si>
  <si>
    <t>AP-260001</t>
  </si>
  <si>
    <t>Coastal Line Logistics</t>
  </si>
  <si>
    <t>High</t>
  </si>
  <si>
    <t>AP-260002</t>
  </si>
  <si>
    <t>Highcastle Equipment Co.</t>
  </si>
  <si>
    <t>AP-260003</t>
  </si>
  <si>
    <t>Amberfield Textiles</t>
  </si>
  <si>
    <t>Medium</t>
  </si>
  <si>
    <t>Paid</t>
  </si>
  <si>
    <t>AP-260004</t>
  </si>
  <si>
    <t>Northline Freight Services</t>
  </si>
  <si>
    <t>AP-260005</t>
  </si>
  <si>
    <t>AP-260006</t>
  </si>
  <si>
    <t>Starling Print &amp; Packaging</t>
  </si>
  <si>
    <t>Low</t>
  </si>
  <si>
    <t>AP-260007</t>
  </si>
  <si>
    <t>Kestrel Logistics Group</t>
  </si>
  <si>
    <t>AP-260008</t>
  </si>
  <si>
    <t>AP-260009</t>
  </si>
  <si>
    <t>AP-260010</t>
  </si>
  <si>
    <t>Granite Peak Manufacturing</t>
  </si>
  <si>
    <t>AP-260011</t>
  </si>
  <si>
    <t>Bayridge Fabrication Inc.</t>
  </si>
  <si>
    <t>AP-260012</t>
  </si>
  <si>
    <t>Redwood Packaging Co.</t>
  </si>
  <si>
    <t>AP-260013</t>
  </si>
  <si>
    <t>Vantage Point Materials</t>
  </si>
  <si>
    <t>AP-260014</t>
  </si>
  <si>
    <t>AP-260015</t>
  </si>
  <si>
    <t>Summit Ridge Components</t>
  </si>
  <si>
    <t>AP-260016</t>
  </si>
  <si>
    <t>Timberline Wholesale Goods</t>
  </si>
  <si>
    <t>AP-260017</t>
  </si>
  <si>
    <t>AP-260018</t>
  </si>
  <si>
    <t>Copperfield Industrial Supply</t>
  </si>
  <si>
    <t>AP-260019</t>
  </si>
  <si>
    <t>AP-260020</t>
  </si>
  <si>
    <t>AP-260021</t>
  </si>
  <si>
    <t>AP-260022</t>
  </si>
  <si>
    <t>AP-260023</t>
  </si>
  <si>
    <t>AP-260024</t>
  </si>
  <si>
    <t>AP-260025</t>
  </si>
  <si>
    <t>AP-260026</t>
  </si>
  <si>
    <t>Marbleton Supply Chain Co.</t>
  </si>
  <si>
    <t>AP-260027</t>
  </si>
  <si>
    <t>AP-260028</t>
  </si>
  <si>
    <t>AP-260029</t>
  </si>
  <si>
    <t>AP-260030</t>
  </si>
  <si>
    <t>AP-260031</t>
  </si>
  <si>
    <t>AP-260032</t>
  </si>
  <si>
    <t>AP-260033</t>
  </si>
  <si>
    <t>AP-260034</t>
  </si>
  <si>
    <t>AP-260035</t>
  </si>
  <si>
    <t>Ashford Raw Materials Ltd.</t>
  </si>
  <si>
    <t>AP-260036</t>
  </si>
  <si>
    <t>AP-260037</t>
  </si>
  <si>
    <t>AP-260038</t>
  </si>
  <si>
    <t>AP-260039</t>
  </si>
  <si>
    <t>AP-260040</t>
  </si>
  <si>
    <t>AP-260041</t>
  </si>
  <si>
    <t>AP-260042</t>
  </si>
  <si>
    <t>AP-260043</t>
  </si>
  <si>
    <t>AP-260044</t>
  </si>
  <si>
    <t>AP-260045</t>
  </si>
  <si>
    <t>AP-260046</t>
  </si>
  <si>
    <t>AP-260047</t>
  </si>
  <si>
    <t>AP-260048</t>
  </si>
  <si>
    <t>AP-260049</t>
  </si>
  <si>
    <t>AP-260050</t>
  </si>
  <si>
    <t>AP-260051</t>
  </si>
  <si>
    <t>AP-260052</t>
  </si>
  <si>
    <t>AP-260053</t>
  </si>
  <si>
    <t>AP-260054</t>
  </si>
  <si>
    <t>AP-260055</t>
  </si>
  <si>
    <t>AP-260056</t>
  </si>
  <si>
    <t>AP-260057</t>
  </si>
  <si>
    <t>AP-260058</t>
  </si>
  <si>
    <t>AP-260059</t>
  </si>
  <si>
    <t>AP-260060</t>
  </si>
  <si>
    <t>AP-260061</t>
  </si>
  <si>
    <t>AP-260062</t>
  </si>
  <si>
    <t>AP-260063</t>
  </si>
  <si>
    <t>AP-260064</t>
  </si>
  <si>
    <t>AP-260065</t>
  </si>
  <si>
    <t>AP-260066</t>
  </si>
  <si>
    <t>AP-260067</t>
  </si>
  <si>
    <t>AP-260068</t>
  </si>
  <si>
    <t>AP-260069</t>
  </si>
  <si>
    <t>AP-260070</t>
  </si>
  <si>
    <t>AP-260071</t>
  </si>
  <si>
    <t>AP-260072</t>
  </si>
  <si>
    <t>AP-260073</t>
  </si>
  <si>
    <t>AP-260074</t>
  </si>
  <si>
    <t>AP-260075</t>
  </si>
  <si>
    <t>AP-260076</t>
  </si>
  <si>
    <t>AP-260077</t>
  </si>
  <si>
    <t>AP-260078</t>
  </si>
  <si>
    <t>AP-260079</t>
  </si>
  <si>
    <t>AP-260080</t>
  </si>
  <si>
    <t>AP-260081</t>
  </si>
  <si>
    <t>AP-260082</t>
  </si>
  <si>
    <t>AP-260083</t>
  </si>
  <si>
    <t>AP-260084</t>
  </si>
  <si>
    <t>AP-260085</t>
  </si>
  <si>
    <t>AP-260086</t>
  </si>
  <si>
    <t>AP-260087</t>
  </si>
  <si>
    <t>AP-260088</t>
  </si>
  <si>
    <t>AP-260089</t>
  </si>
  <si>
    <t>AP-260090</t>
  </si>
  <si>
    <t>AP-260091</t>
  </si>
  <si>
    <t>AP-260092</t>
  </si>
  <si>
    <t>AP-260093</t>
  </si>
  <si>
    <t>AP-260094</t>
  </si>
  <si>
    <t>AP-260095</t>
  </si>
  <si>
    <t>AP-260096</t>
  </si>
  <si>
    <t>AP-260097</t>
  </si>
  <si>
    <t>AP-260098</t>
  </si>
  <si>
    <t>AP-260099</t>
  </si>
  <si>
    <t>AP-260100</t>
  </si>
  <si>
    <t>V00001</t>
  </si>
  <si>
    <t>V00002</t>
  </si>
  <si>
    <t>EM90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</si>
  <si>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</si>
  <si>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</si>
  <si>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</si>
  <si>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</si>
  <si>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</si>
  <si>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</si>
  <si>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</si>
  <si>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</si>
  <si>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</si>
  <si>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</si>
  <si>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</si>
  <si>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</si>
  <si>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</si>
  <si>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Min Cash Threshold</t>
  </si>
  <si>
    <t>Beginning Cash</t>
  </si>
  <si>
    <t>As of Date</t>
  </si>
  <si>
    <t>Net Cash Flow</t>
  </si>
  <si>
    <t>Ending Bal</t>
  </si>
  <si>
    <t>Week Start</t>
  </si>
  <si>
    <t>Week End</t>
  </si>
  <si>
    <t>Inflow(AR)</t>
  </si>
  <si>
    <t>Outflow(AP)</t>
  </si>
  <si>
    <t>Prob Adj</t>
  </si>
  <si>
    <t>AR Delay Mult</t>
  </si>
  <si>
    <t>AP Stretch Mult</t>
  </si>
  <si>
    <t>Below Threshold?</t>
  </si>
  <si>
    <t>Bank Account</t>
  </si>
  <si>
    <t>A bank (TWD) #58945</t>
  </si>
  <si>
    <t>B bank (TWD) #65084</t>
  </si>
  <si>
    <t>C bank (TWD) #20122</t>
  </si>
  <si>
    <t>D bank (TWD) #29060</t>
  </si>
  <si>
    <t>E bank (TWD) #30582</t>
  </si>
  <si>
    <t>Ending Bal.</t>
  </si>
  <si>
    <t>&lt;&lt;&lt;From TB&gt;&gt;&gt;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</si>
</sst>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\+0.0%;\-0.0%;0.0%"/>
    <numFmt numFmtId="166" formatCode="0.00\x"/>
    <numFmt numFmtId="167" formatCode="\$#,##0"/>
    <numFmt numFmtId="168" formatCode="0.0%"/>
    <numFmt numFmtId="169" formatCode="yyyy\-mm\-dd;@"/>
  </numFmts>
  <fonts count="14" x14ac:knownFonts="1">
    <font>
      <sz val="11"/>
      <color theme="1"/>
      <name val="Calibri"/>
      <family val="2"/>
      <charset val="1"/>
    </font>
    <font>
      <sz val="11"/>
      <name val="Times New Roman"/>
      <family val="1"/>
    </font>
    <font>
      <sz val="12"/>
      <color theme="1"/>
      <name val="Times New Roman"/>
      <family val="1"/>
      <charset val="1"/>
    </font>
    <font>
      <sz val="11"/>
      <name val="Times New Roman"/>
      <family val="1"/>
      <charset val="1"/>
    </font>
    <font>
      <sz val="10"/>
      <color theme="1"/>
      <name val="Times New Roman"/>
      <family val="1"/>
      <charset val="1"/>
    </font>
    <font>
      <b/>
      <sz val="14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i/>
      <sz val="9"/>
      <color rgb="FF808080"/>
      <name val="Calibri"/>
      <family val="2"/>
    </font>
    <font>
      <b/>
      <sz val="11"/>
      <color rgb="FF0000FF"/>
      <name val="Calibri"/>
      <family val="2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rgb="FF003366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167" fontId="3" fillId="0" borderId="0" xfId="0" applyNumberFormat="1" applyFont="1"/>
    <xf numFmtId="168" fontId="3" fillId="0" borderId="0" xfId="0" applyNumberFormat="1" applyFont="1"/>
    <xf numFmtId="0" fontId="3" fillId="0" borderId="0" xfId="0" applyFont="1"/>
    <xf numFmtId="164" fontId="1" fillId="0" borderId="0" xfId="0" applyNumberFormat="1" applyFont="1"/>
    <xf numFmtId="168" fontId="1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164" fontId="9" fillId="2" borderId="0" xfId="0" applyNumberFormat="1" applyFont="1" applyFill="1" applyAlignment="1">
      <alignment horizontal="right"/>
    </xf>
    <xf numFmtId="0" fontId="10" fillId="0" borderId="1" xfId="0" applyFont="1" applyBorder="1" applyAlignment="1">
      <alignment horizontal="center"/>
    </xf>
    <xf numFmtId="167" fontId="9" fillId="2" borderId="0" xfId="0" applyNumberFormat="1" applyFont="1" applyFill="1" applyAlignment="1">
      <alignment horizontal="right"/>
    </xf>
    <xf numFmtId="0" fontId="11" fillId="0" borderId="0" xfId="0" applyFont="1"/>
    <xf numFmtId="0" fontId="10" fillId="0" borderId="0" xfId="0" applyFont="1"/>
    <xf numFmtId="165" fontId="10" fillId="0" borderId="0" xfId="0" applyNumberFormat="1" applyFont="1"/>
    <xf numFmtId="166" fontId="10" fillId="0" borderId="0" xfId="0" applyNumberFormat="1" applyFont="1"/>
    <xf numFmtId="0" fontId="8" fillId="3" borderId="0" xfId="0" applyFont="1" applyFill="1" applyAlignment="1">
      <alignment horizontal="left"/>
    </xf>
    <xf numFmtId="0" fontId="12" fillId="4" borderId="0" xfId="0" applyFont="1" applyFill="1" applyAlignment="1">
      <alignment horizontal="right"/>
    </xf>
    <xf numFmtId="38" fontId="10" fillId="0" borderId="1" xfId="0" applyNumberFormat="1" applyFont="1" applyBorder="1"/>
    <xf numFmtId="38" fontId="6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0" fontId="1" fillId="5" borderId="0" xfId="0" applyFont="1" applyFill="1"/>
    <xf numFmtId="0" fontId="7" fillId="6" borderId="1" xfId="0" applyFont="1" applyFill="1" applyBorder="1" applyAlignment="1">
      <alignment horizontal="center"/>
    </xf>
    <xf numFmtId="169" fontId="2" fillId="0" borderId="0" xfId="0" applyNumberFormat="1" applyFont="1"/>
    <xf numFmtId="169" fontId="3" fillId="0" borderId="0" xfId="0" applyNumberFormat="1" applyFont="1"/>
    <xf numFmtId="169" fontId="0" fillId="0" borderId="0" xfId="0" applyNumberFormat="1"/>
    <xf numFmtId="0" fontId="3" fillId="0" borderId="2" xfId="0" applyFont="1" applyBorder="1"/>
    <xf numFmtId="0" fontId="1" fillId="0" borderId="2" xfId="0" applyFont="1" applyBorder="1"/>
    <xf numFmtId="168" fontId="3" fillId="0" borderId="2" xfId="0" applyNumberFormat="1" applyFont="1" applyBorder="1"/>
    <xf numFmtId="0" fontId="3" fillId="7" borderId="2" xfId="0" applyFont="1" applyFill="1" applyBorder="1"/>
    <xf numFmtId="0" fontId="1" fillId="7" borderId="2" xfId="0" applyFont="1" applyFill="1" applyBorder="1"/>
    <xf numFmtId="168" fontId="1" fillId="0" borderId="2" xfId="0" applyNumberFormat="1" applyFont="1" applyBorder="1"/>
    <xf numFmtId="0" fontId="13" fillId="0" borderId="0" xfId="0" applyFont="1"/>
    <xf numFmtId="0" fontId="6" fillId="0" borderId="3" xfId="0" applyFont="1" applyBorder="1"/>
    <xf numFmtId="167" fontId="6" fillId="0" borderId="0" xfId="0" applyNumberFormat="1" applyFont="1" applyAlignment="1">
      <alignment horizontal="right"/>
    </xf>
    <xf numFmtId="167" fontId="6" fillId="0" borderId="4" xfId="0" applyNumberFormat="1" applyFont="1" applyBorder="1" applyAlignment="1">
      <alignment horizontal="right"/>
    </xf>
    <xf numFmtId="167" fontId="6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M17"/>
  <sheetViews>
    <sheetView tabSelected="1" zoomScale="108" zoomScaleNormal="100" workbookViewId="0">
      <selection activeCell="O17" sqref="O17"/>
    </sheetView>
  </sheetViews>
  <sheetFormatPr baseColWidth="10" defaultColWidth="8.6640625" defaultRowHeight="15" x14ac:dyDescent="0.2"/>
  <cols>
    <col min="1" max="1" width="20.1640625" style="11" customWidth="1"/>
    <col min="2" max="4" width="12.5" style="11" customWidth="1"/>
    <col min="5" max="5" width="14" style="11" customWidth="1"/>
    <col min="6" max="6" width="9" style="11" customWidth="1"/>
    <col min="7" max="12" width="13.6640625" style="11" customWidth="1"/>
    <col min="13" max="13" width="16" style="11" bestFit="1" customWidth="1"/>
    <col min="14" max="16384" width="8.6640625" style="11"/>
  </cols>
  <sheetData>
    <row r="1" spans="1:13" ht="19" x14ac:dyDescent="0.25">
      <c r="A1" s="10" t="s">
        <v>0</v>
      </c>
    </row>
    <row r="3" spans="1:13" x14ac:dyDescent="0.2">
      <c r="A3" s="12" t="s">
        <v>348</v>
      </c>
      <c r="B3" s="13">
        <f>Cash_Balance!E1</f>
        <v>46230</v>
      </c>
      <c r="F3" s="26" t="s">
        <v>9</v>
      </c>
      <c r="G3" s="26" t="s">
        <v>351</v>
      </c>
      <c r="H3" s="26" t="s">
        <v>352</v>
      </c>
      <c r="I3" s="26" t="s">
        <v>353</v>
      </c>
      <c r="J3" s="26" t="s">
        <v>354</v>
      </c>
      <c r="K3" s="26" t="s">
        <v>349</v>
      </c>
      <c r="L3" s="26" t="s">
        <v>350</v>
      </c>
      <c r="M3" s="26" t="s">
        <v>358</v>
      </c>
    </row>
    <row r="4" spans="1:13" x14ac:dyDescent="0.2">
      <c r="A4" s="12" t="s">
        <v>347</v>
      </c>
      <c r="B4" s="15">
        <f>Cash_Balance!E2</f>
        <v>1938408</v>
      </c>
      <c r="C4" s="16"/>
      <c r="F4" s="14">
        <v>1</v>
      </c>
      <c r="G4" s="24">
        <f>$B$3+(1-1)*7</f>
        <v>46230</v>
      </c>
      <c r="H4" s="24">
        <f>$B$3+(1-1)*7+6</f>
        <v>46236</v>
      </c>
      <c r="I4" s="22">
        <f>SUMPRODUCT((AR_detail!$L$2:$L$121&gt;=G4)*(AR_detail!$L$2:$L$121&lt;=H4)*(AR_detail!$J$2:$J$121&lt;&gt;"Collected")*AR_detail!$H$2:$H$121*AR_detail!$M$2:$M$121)</f>
        <v>3161845</v>
      </c>
      <c r="J4" s="22">
        <f>SUMPRODUCT((AP_detail!$L$2:$L$101&gt;=G4)*(AP_detail!$L$2:$L$101&lt;=H4)*(AP_detail!$J$2:$J$101&lt;&gt;"Paid")*AP_detail!$H$2:$H$101)</f>
        <v>1847500</v>
      </c>
      <c r="K4" s="22">
        <f t="shared" ref="K4:K16" si="0">I4-J4</f>
        <v>1314345</v>
      </c>
      <c r="L4" s="22">
        <f>$B$4+K4</f>
        <v>3252753</v>
      </c>
      <c r="M4" s="14" t="str">
        <f t="shared" ref="M4:M16" si="1">IF(L4&lt;$B$5,"WARNING","OK")</f>
        <v>OK</v>
      </c>
    </row>
    <row r="5" spans="1:13" x14ac:dyDescent="0.2">
      <c r="A5" s="12" t="s">
        <v>346</v>
      </c>
      <c r="B5" s="15">
        <f>Cash_Balance!E3</f>
        <v>1500000</v>
      </c>
      <c r="F5" s="14">
        <v>2</v>
      </c>
      <c r="G5" s="24">
        <f>$B$3+(2-1)*7</f>
        <v>46237</v>
      </c>
      <c r="H5" s="24">
        <f>$B$3+(2-1)*7+6</f>
        <v>46243</v>
      </c>
      <c r="I5" s="22">
        <f>SUMPRODUCT((AR_detail!$L$2:$L$121&gt;=G5)*(AR_detail!$L$2:$L$121&lt;=H5)*(AR_detail!$J$2:$J$121&lt;&gt;"Collected")*AR_detail!$H$2:$H$121*AR_detail!$M$2:$M$121)</f>
        <v>1260675</v>
      </c>
      <c r="J5" s="22">
        <f>SUMPRODUCT((AP_detail!$L$2:$L$101&gt;=G5)*(AP_detail!$L$2:$L$101&lt;=H5)*(AP_detail!$J$2:$J$101&lt;&gt;"Paid")*AP_detail!$H$2:$H$101)</f>
        <v>1500500</v>
      </c>
      <c r="K5" s="22">
        <f t="shared" si="0"/>
        <v>-239825</v>
      </c>
      <c r="L5" s="22">
        <f t="shared" ref="L5:L16" si="2">L4+K5</f>
        <v>3012928</v>
      </c>
      <c r="M5" s="14" t="str">
        <f t="shared" si="1"/>
        <v>OK</v>
      </c>
    </row>
    <row r="6" spans="1:13" x14ac:dyDescent="0.2">
      <c r="A6" s="20" t="s">
        <v>2</v>
      </c>
      <c r="B6" s="21" t="s">
        <v>4</v>
      </c>
      <c r="F6" s="14">
        <v>3</v>
      </c>
      <c r="G6" s="24">
        <f>$B$3+(3-1)*7</f>
        <v>46244</v>
      </c>
      <c r="H6" s="24">
        <f>$B$3+(3-1)*7+6</f>
        <v>46250</v>
      </c>
      <c r="I6" s="22" cm="1">
        <f t="array" ref="I6">SUMPRODUCT((AR_detail!$L$2:$L$121&gt;=G6)*(AR_detail!$L$2:$L$121&lt;=H6)*(AR_detail!$J$2:$J$121&lt;&gt;"Collected")*AR_detail!$H$2:$H$121*AR_detail!$M$2:$M$121)</f>
        <v>1589265</v>
      </c>
      <c r="J6" s="22">
        <f>SUMPRODUCT((AP_detail!$L$2:$L$101&gt;=G6)*(AP_detail!$L$2:$L$101&lt;=H6)*(AP_detail!$J$2:$J$101&lt;&gt;"Paid")*AP_detail!$H$2:$H$101)</f>
        <v>952500</v>
      </c>
      <c r="K6" s="22">
        <f t="shared" si="0"/>
        <v>636765</v>
      </c>
      <c r="L6" s="22">
        <f t="shared" si="2"/>
        <v>3649693</v>
      </c>
      <c r="M6" s="14" t="str">
        <f t="shared" si="1"/>
        <v>OK</v>
      </c>
    </row>
    <row r="7" spans="1:13" x14ac:dyDescent="0.2">
      <c r="A7" s="17" t="s">
        <v>6</v>
      </c>
      <c r="B7" s="18">
        <f>INDEX($B$13:$B$15,MATCH($B$6,$A$13:$A$15,0))</f>
        <v>0</v>
      </c>
      <c r="F7" s="14">
        <v>4</v>
      </c>
      <c r="G7" s="24">
        <f>$B$3+(4-1)*7</f>
        <v>46251</v>
      </c>
      <c r="H7" s="24">
        <f>$B$3+(4-1)*7+6</f>
        <v>46257</v>
      </c>
      <c r="I7" s="22">
        <f>SUMPRODUCT((AR_detail!$L$2:$L$121&gt;=G7)*(AR_detail!$L$2:$L$121&lt;=H7)*(AR_detail!$J$2:$J$121&lt;&gt;"Collected")*AR_detail!$H$2:$H$121*AR_detail!$M$2:$M$121)</f>
        <v>186915</v>
      </c>
      <c r="J7" s="22">
        <f>SUMPRODUCT((AP_detail!$L$2:$L$101&gt;=G7)*(AP_detail!$L$2:$L$101&lt;=H7)*(AP_detail!$J$2:$J$101&lt;&gt;"Paid")*AP_detail!$H$2:$H$101)</f>
        <v>0</v>
      </c>
      <c r="K7" s="22">
        <f t="shared" si="0"/>
        <v>186915</v>
      </c>
      <c r="L7" s="22">
        <f t="shared" si="2"/>
        <v>3836608</v>
      </c>
      <c r="M7" s="14" t="str">
        <f t="shared" si="1"/>
        <v>OK</v>
      </c>
    </row>
    <row r="8" spans="1:13" x14ac:dyDescent="0.2">
      <c r="A8" s="17" t="s">
        <v>7</v>
      </c>
      <c r="B8" s="19">
        <f>INDEX($C$13:$C$15,MATCH($B$6,$A$13:$A$15,0))</f>
        <v>1</v>
      </c>
      <c r="F8" s="14">
        <v>5</v>
      </c>
      <c r="G8" s="24">
        <f>$B$3+(5-1)*7</f>
        <v>46258</v>
      </c>
      <c r="H8" s="24">
        <f>$B$3+(5-1)*7+6</f>
        <v>46264</v>
      </c>
      <c r="I8" s="22" cm="1">
        <f t="array" ref="I8">SUMPRODUCT((AR_detail!$L$2:$L$121&gt;=G8)*(AR_detail!$L$2:$L$121&lt;=H8)*(AR_detail!$J$2:$J$121&lt;&gt;"Collected")*AR_detail!$H$2:$H$121*AR_detail!$M$2:$M$121)</f>
        <v>941010</v>
      </c>
      <c r="J8" s="22" cm="1">
        <f t="array" ref="J8">SUMPRODUCT((AP_detail!$L$2:$L$101&gt;=G8)*(AP_detail!$L$2:$L$101&lt;=H8)*(AP_detail!$J$2:$J$101&lt;&gt;"Paid")*AP_detail!$H$2:$H$101)</f>
        <v>1485500</v>
      </c>
      <c r="K8" s="22">
        <f t="shared" si="0"/>
        <v>-544490</v>
      </c>
      <c r="L8" s="22">
        <f t="shared" si="2"/>
        <v>3292118</v>
      </c>
      <c r="M8" s="14" t="str">
        <f t="shared" si="1"/>
        <v>OK</v>
      </c>
    </row>
    <row r="9" spans="1:13" x14ac:dyDescent="0.2">
      <c r="A9" s="17" t="s">
        <v>8</v>
      </c>
      <c r="B9" s="19">
        <f>INDEX($D$13:$D$15,MATCH($B$6,$A$13:$A$15,0))</f>
        <v>1</v>
      </c>
      <c r="F9" s="14">
        <v>6</v>
      </c>
      <c r="G9" s="24">
        <f>$B$3+(6-1)*7</f>
        <v>46265</v>
      </c>
      <c r="H9" s="24">
        <f>$B$3+(6-1)*7+6</f>
        <v>46271</v>
      </c>
      <c r="I9" s="22">
        <f>SUMPRODUCT((AR_detail!$L$2:$L$121&gt;=G9)*(AR_detail!$L$2:$L$121&lt;=H9)*(AR_detail!$J$2:$J$121&lt;&gt;"Collected")*AR_detail!$H$2:$H$121*AR_detail!$M$2:$M$121)</f>
        <v>50400</v>
      </c>
      <c r="J9" s="22" cm="1">
        <f t="array" ref="J9">SUMPRODUCT((AP_detail!$L$2:$L$101&gt;=G9)*(AP_detail!$L$2:$L$101&lt;=H9)*(AP_detail!$J$2:$J$101&lt;&gt;"Paid")*AP_detail!$H$2:$H$101)</f>
        <v>132000</v>
      </c>
      <c r="K9" s="22">
        <f>I9-J9</f>
        <v>-81600</v>
      </c>
      <c r="L9" s="22">
        <f t="shared" si="2"/>
        <v>3210518</v>
      </c>
      <c r="M9" s="14" t="str">
        <f t="shared" si="1"/>
        <v>OK</v>
      </c>
    </row>
    <row r="10" spans="1:13" x14ac:dyDescent="0.2">
      <c r="F10" s="14">
        <v>7</v>
      </c>
      <c r="G10" s="24">
        <f>$B$3+(7-1)*7</f>
        <v>46272</v>
      </c>
      <c r="H10" s="24">
        <f>$B$3+(7-1)*7+6</f>
        <v>46278</v>
      </c>
      <c r="I10" s="22">
        <f>SUMPRODUCT((AR_detail!$L$2:$L$121&gt;=G10)*(AR_detail!$L$2:$L$121&lt;=H10)*(AR_detail!$J$2:$J$121&lt;&gt;"Collected")*AR_detail!$H$2:$H$121*AR_detail!$M$2:$M$121)</f>
        <v>24750</v>
      </c>
      <c r="J10" s="22">
        <f>SUMPRODUCT((AP_detail!$L$2:$L$101&gt;=G10)*(AP_detail!$L$2:$L$101&lt;=H10)*(AP_detail!$J$2:$J$101&lt;&gt;"Paid")*AP_detail!$H$2:$H$101)</f>
        <v>173000</v>
      </c>
      <c r="K10" s="22">
        <f t="shared" si="0"/>
        <v>-148250</v>
      </c>
      <c r="L10" s="22">
        <f>L9+K10</f>
        <v>3062268</v>
      </c>
      <c r="M10" s="14" t="str">
        <f t="shared" si="1"/>
        <v>OK</v>
      </c>
    </row>
    <row r="11" spans="1:13" x14ac:dyDescent="0.2">
      <c r="A11" s="16" t="s">
        <v>1</v>
      </c>
      <c r="F11" s="14">
        <v>8</v>
      </c>
      <c r="G11" s="24">
        <f>$B$3+(8-1)*7</f>
        <v>46279</v>
      </c>
      <c r="H11" s="24">
        <f>$B$3+(8-1)*7+6</f>
        <v>46285</v>
      </c>
      <c r="I11" s="22">
        <f>SUMPRODUCT((AR_detail!$L$2:$L$121&gt;=G11)*(AR_detail!$L$2:$L$121&lt;=H11)*(AR_detail!$J$2:$J$121&lt;&gt;"Collected")*AR_detail!$H$2:$H$121*AR_detail!$M$2:$M$121)</f>
        <v>815475</v>
      </c>
      <c r="J11" s="22">
        <f>SUMPRODUCT((AP_detail!$L$2:$L$101&gt;=G11)*(AP_detail!$L$2:$L$101&lt;=H11)*(AP_detail!$J$2:$J$101&lt;&gt;"Paid")*AP_detail!$H$2:$H$101)</f>
        <v>0</v>
      </c>
      <c r="K11" s="22">
        <f t="shared" si="0"/>
        <v>815475</v>
      </c>
      <c r="L11" s="22">
        <f t="shared" si="2"/>
        <v>3877743</v>
      </c>
      <c r="M11" s="14" t="str">
        <f t="shared" si="1"/>
        <v>OK</v>
      </c>
    </row>
    <row r="12" spans="1:13" x14ac:dyDescent="0.2">
      <c r="A12" s="12" t="s">
        <v>2</v>
      </c>
      <c r="B12" s="12" t="s">
        <v>355</v>
      </c>
      <c r="C12" s="12" t="s">
        <v>356</v>
      </c>
      <c r="D12" s="12" t="s">
        <v>357</v>
      </c>
      <c r="F12" s="14">
        <v>9</v>
      </c>
      <c r="G12" s="24">
        <f>$B$3+(9-1)*7</f>
        <v>46286</v>
      </c>
      <c r="H12" s="24">
        <f>$B$3+(9-1)*7+6</f>
        <v>46292</v>
      </c>
      <c r="I12" s="22">
        <f>SUMPRODUCT((AR_detail!$L$2:$L$121&gt;=G12)*(AR_detail!$L$2:$L$121&lt;=H12)*(AR_detail!$J$2:$J$121&lt;&gt;"Collected")*AR_detail!$H$2:$H$121*AR_detail!$M$2:$M$121)</f>
        <v>0</v>
      </c>
      <c r="J12" s="22">
        <f>SUMPRODUCT((AP_detail!$L$2:$L$101&gt;=G12)*(AP_detail!$L$2:$L$101&lt;=H12)*(AP_detail!$J$2:$J$101&lt;&gt;"Paid")*AP_detail!$H$2:$H$101)</f>
        <v>0</v>
      </c>
      <c r="K12" s="22">
        <f t="shared" si="0"/>
        <v>0</v>
      </c>
      <c r="L12" s="22">
        <f t="shared" si="2"/>
        <v>3877743</v>
      </c>
      <c r="M12" s="14" t="str">
        <f t="shared" si="1"/>
        <v>OK</v>
      </c>
    </row>
    <row r="13" spans="1:13" x14ac:dyDescent="0.2">
      <c r="A13" s="17" t="s">
        <v>3</v>
      </c>
      <c r="B13" s="18">
        <v>0.05</v>
      </c>
      <c r="C13" s="19">
        <v>0.5</v>
      </c>
      <c r="D13" s="19">
        <v>0.8</v>
      </c>
      <c r="F13" s="14">
        <v>10</v>
      </c>
      <c r="G13" s="24">
        <f>$B$3+(10-1)*7</f>
        <v>46293</v>
      </c>
      <c r="H13" s="24">
        <f>$B$3+(10-1)*7+6</f>
        <v>46299</v>
      </c>
      <c r="I13" s="22">
        <f>SUMPRODUCT((AR_detail!$L$2:$L$121&gt;=G13)*(AR_detail!$L$2:$L$121&lt;=H13)*(AR_detail!$J$2:$J$121&lt;&gt;"Collected")*AR_detail!$H$2:$H$121*AR_detail!$M$2:$M$121)</f>
        <v>117450</v>
      </c>
      <c r="J13" s="22">
        <f>SUMPRODUCT((AP_detail!$L$2:$L$101&gt;=G13)*(AP_detail!$L$2:$L$101&lt;=H13)*(AP_detail!$J$2:$J$101&lt;&gt;"Paid")*AP_detail!$H$2:$H$101)</f>
        <v>1033000</v>
      </c>
      <c r="K13" s="22">
        <f t="shared" si="0"/>
        <v>-915550</v>
      </c>
      <c r="L13" s="22">
        <f t="shared" si="2"/>
        <v>2962193</v>
      </c>
      <c r="M13" s="14" t="str">
        <f t="shared" si="1"/>
        <v>OK</v>
      </c>
    </row>
    <row r="14" spans="1:13" x14ac:dyDescent="0.2">
      <c r="A14" s="17" t="s">
        <v>4</v>
      </c>
      <c r="B14" s="18">
        <v>0</v>
      </c>
      <c r="C14" s="19">
        <v>1</v>
      </c>
      <c r="D14" s="19">
        <v>1</v>
      </c>
      <c r="F14" s="14">
        <v>11</v>
      </c>
      <c r="G14" s="24">
        <f>$B$3+(11-1)*7</f>
        <v>46300</v>
      </c>
      <c r="H14" s="24">
        <f>$B$3+(11-1)*7+6</f>
        <v>46306</v>
      </c>
      <c r="I14" s="22">
        <f>SUMPRODUCT((AR_detail!$L$2:$L$121&gt;=G14)*(AR_detail!$L$2:$L$121&lt;=H14)*(AR_detail!$J$2:$J$121&lt;&gt;"Collected")*AR_detail!$H$2:$H$121*AR_detail!$M$2:$M$121)</f>
        <v>0</v>
      </c>
      <c r="J14" s="22">
        <f>SUMPRODUCT((AP_detail!$L$2:$L$101&gt;=G14)*(AP_detail!$L$2:$L$101&lt;=H14)*(AP_detail!$J$2:$J$101&lt;&gt;"Paid")*AP_detail!$H$2:$H$101)</f>
        <v>0</v>
      </c>
      <c r="K14" s="22">
        <f t="shared" si="0"/>
        <v>0</v>
      </c>
      <c r="L14" s="22">
        <f t="shared" si="2"/>
        <v>2962193</v>
      </c>
      <c r="M14" s="14" t="str">
        <f t="shared" si="1"/>
        <v>OK</v>
      </c>
    </row>
    <row r="15" spans="1:13" x14ac:dyDescent="0.2">
      <c r="A15" s="17" t="s">
        <v>5</v>
      </c>
      <c r="B15" s="18">
        <v>-0.15</v>
      </c>
      <c r="C15" s="19">
        <v>2</v>
      </c>
      <c r="D15" s="19">
        <v>1.8</v>
      </c>
      <c r="F15" s="14">
        <v>12</v>
      </c>
      <c r="G15" s="24">
        <f>$B$3+(12-1)*7</f>
        <v>46307</v>
      </c>
      <c r="H15" s="24">
        <f>$B$3+(12-1)*7+6</f>
        <v>46313</v>
      </c>
      <c r="I15" s="22">
        <f>SUMPRODUCT((AR_detail!$L$2:$L$121&gt;=G15)*(AR_detail!$L$2:$L$121&lt;=H15)*(AR_detail!$J$2:$J$121&lt;&gt;"Collected")*AR_detail!$H$2:$H$121*AR_detail!$M$2:$M$121)</f>
        <v>0</v>
      </c>
      <c r="J15" s="22">
        <f>SUMPRODUCT((AP_detail!$L$2:$L$101&gt;=G15)*(AP_detail!$L$2:$L$101&lt;=H15)*(AP_detail!$J$2:$J$101&lt;&gt;"Paid")*AP_detail!$H$2:$H$101)</f>
        <v>0</v>
      </c>
      <c r="K15" s="22">
        <f t="shared" si="0"/>
        <v>0</v>
      </c>
      <c r="L15" s="22">
        <f t="shared" si="2"/>
        <v>2962193</v>
      </c>
      <c r="M15" s="14" t="str">
        <f t="shared" si="1"/>
        <v>OK</v>
      </c>
    </row>
    <row r="16" spans="1:13" x14ac:dyDescent="0.2">
      <c r="F16" s="14">
        <v>13</v>
      </c>
      <c r="G16" s="24">
        <f>$B$3+(13-1)*7</f>
        <v>46314</v>
      </c>
      <c r="H16" s="24">
        <f>$B$3+(13-1)*7+6</f>
        <v>46320</v>
      </c>
      <c r="I16" s="22">
        <f>SUMPRODUCT((AR_detail!$L$2:$L$121&gt;=G16)*(AR_detail!$L$2:$L$121&lt;=H16)*(AR_detail!$J$2:$J$121&lt;&gt;"Collected")*AR_detail!$H$2:$H$121*AR_detail!$M$2:$M$121)</f>
        <v>0</v>
      </c>
      <c r="J16" s="22">
        <f>SUMPRODUCT((AP_detail!$L$2:$L$101&gt;=G16)*(AP_detail!$L$2:$L$101&lt;=H16)*(AP_detail!$J$2:$J$101&lt;&gt;"Paid")*AP_detail!$H$2:$H$101)</f>
        <v>0</v>
      </c>
      <c r="K16" s="22">
        <f t="shared" si="0"/>
        <v>0</v>
      </c>
      <c r="L16" s="22">
        <f t="shared" si="2"/>
        <v>2962193</v>
      </c>
      <c r="M16" s="14" t="str">
        <f t="shared" si="1"/>
        <v>OK</v>
      </c>
    </row>
    <row r="17" spans="9:12" x14ac:dyDescent="0.2">
      <c r="I17" s="23"/>
      <c r="J17" s="23"/>
      <c r="K17" s="23"/>
      <c r="L17" s="23"/>
    </row>
  </sheetData>
  <conditionalFormatting sqref="M4:M16">
    <cfRule type="containsText" dxfId="0" priority="1" operator="containsText" text="WARNING">
      <formula>NOT(ISERROR(SEARCH("WARNING",M4)))</formula>
    </cfRule>
  </conditionalFormatting>
  <dataValidations count="1">
    <dataValidation type="list" sqref="B6" xr:uid="{00000000-0002-0000-0000-000000000000}">
      <formula1>"Best,Base,Worst"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1B43-4145-284E-98B6-10D388BEE477}">
  <sheetPr>
    <tabColor rgb="FFFFC000"/>
  </sheetPr>
  <dimension ref="A1:E10"/>
  <sheetViews>
    <sheetView zoomScale="108" zoomScaleNormal="100" workbookViewId="0">
      <selection activeCell="A11" sqref="A11"/>
    </sheetView>
  </sheetViews>
  <sheetFormatPr baseColWidth="10" defaultColWidth="8.6640625" defaultRowHeight="15" x14ac:dyDescent="0.2"/>
  <cols>
    <col min="1" max="1" width="20.1640625" style="11" customWidth="1"/>
    <col min="2" max="3" width="12.5" style="11" customWidth="1"/>
    <col min="4" max="4" width="16.33203125" style="11" bestFit="1" customWidth="1"/>
    <col min="5" max="5" width="10.1640625" style="11" bestFit="1" customWidth="1"/>
    <col min="6" max="16384" width="8.6640625" style="11"/>
  </cols>
  <sheetData>
    <row r="1" spans="1:5" x14ac:dyDescent="0.2">
      <c r="A1" s="37" t="s">
        <v>359</v>
      </c>
      <c r="B1" s="37" t="s">
        <v>365</v>
      </c>
      <c r="D1" s="12" t="s">
        <v>348</v>
      </c>
      <c r="E1" s="13">
        <v>46230</v>
      </c>
    </row>
    <row r="2" spans="1:5" x14ac:dyDescent="0.2">
      <c r="A2" s="11" t="s">
        <v>360</v>
      </c>
      <c r="B2" s="38">
        <v>589353</v>
      </c>
      <c r="C2" s="16"/>
      <c r="D2" s="12" t="s">
        <v>347</v>
      </c>
      <c r="E2" s="15">
        <f>B7</f>
        <v>1938408</v>
      </c>
    </row>
    <row r="3" spans="1:5" x14ac:dyDescent="0.2">
      <c r="A3" s="11" t="s">
        <v>361</v>
      </c>
      <c r="B3" s="38">
        <v>29472</v>
      </c>
      <c r="D3" s="12" t="s">
        <v>346</v>
      </c>
      <c r="E3" s="15">
        <v>1500000</v>
      </c>
    </row>
    <row r="4" spans="1:5" x14ac:dyDescent="0.2">
      <c r="A4" s="11" t="s">
        <v>362</v>
      </c>
      <c r="B4" s="38">
        <v>60485</v>
      </c>
    </row>
    <row r="5" spans="1:5" x14ac:dyDescent="0.2">
      <c r="A5" s="11" t="s">
        <v>363</v>
      </c>
      <c r="B5" s="38">
        <v>1038475</v>
      </c>
    </row>
    <row r="6" spans="1:5" x14ac:dyDescent="0.2">
      <c r="A6" s="11" t="s">
        <v>364</v>
      </c>
      <c r="B6" s="38">
        <v>220623</v>
      </c>
    </row>
    <row r="7" spans="1:5" ht="16" thickBot="1" x14ac:dyDescent="0.25">
      <c r="B7" s="39">
        <f>SUM(B2:B6)</f>
        <v>1938408</v>
      </c>
    </row>
    <row r="8" spans="1:5" ht="16" thickTop="1" x14ac:dyDescent="0.2"/>
    <row r="10" spans="1:5" x14ac:dyDescent="0.2">
      <c r="A10" s="11" t="s">
        <v>366</v>
      </c>
      <c r="B10" s="4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M121"/>
  <sheetViews>
    <sheetView zoomScaleNormal="100" workbookViewId="0">
      <selection activeCell="E27" sqref="E27"/>
    </sheetView>
  </sheetViews>
  <sheetFormatPr baseColWidth="10" defaultColWidth="8.6640625" defaultRowHeight="15" x14ac:dyDescent="0.2"/>
  <cols>
    <col min="1" max="1" width="10.6640625" bestFit="1" customWidth="1"/>
    <col min="2" max="2" width="14" bestFit="1" customWidth="1"/>
    <col min="3" max="3" width="25.33203125" bestFit="1" customWidth="1"/>
    <col min="4" max="4" width="10.33203125" bestFit="1" customWidth="1"/>
    <col min="5" max="6" width="14.1640625" customWidth="1"/>
    <col min="7" max="7" width="14" bestFit="1" customWidth="1"/>
    <col min="9" max="9" width="19" bestFit="1" customWidth="1"/>
    <col min="10" max="10" width="8.33203125" bestFit="1" customWidth="1"/>
    <col min="11" max="11" width="14.1640625" customWidth="1"/>
    <col min="12" max="12" width="22" bestFit="1" customWidth="1"/>
    <col min="13" max="13" width="25.5" bestFit="1" customWidth="1"/>
  </cols>
  <sheetData>
    <row r="1" spans="1:13" ht="15" customHeight="1" x14ac:dyDescent="0.2">
      <c r="A1" s="2" t="s">
        <v>10</v>
      </c>
      <c r="B1" s="2" t="s">
        <v>11</v>
      </c>
      <c r="C1" s="2" t="s">
        <v>12</v>
      </c>
      <c r="D1" s="2" t="s">
        <v>13</v>
      </c>
      <c r="E1" s="1" t="s">
        <v>14</v>
      </c>
      <c r="F1" s="1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1" t="s">
        <v>20</v>
      </c>
      <c r="L1" s="25" t="s">
        <v>21</v>
      </c>
      <c r="M1" s="25" t="s">
        <v>22</v>
      </c>
    </row>
    <row r="2" spans="1:13" ht="15" customHeight="1" x14ac:dyDescent="0.2">
      <c r="A2" s="2" t="s">
        <v>23</v>
      </c>
      <c r="B2" s="2" t="s">
        <v>24</v>
      </c>
      <c r="C2" s="2" t="s">
        <v>25</v>
      </c>
      <c r="D2" s="2" t="s">
        <v>26</v>
      </c>
      <c r="E2" s="6">
        <v>46154</v>
      </c>
      <c r="F2" s="6">
        <f t="array" ref="F2">_xlfn.IFS(G2="EM15",EOMONTH(E2,0)+15, G2="EM30",EOMONTH(E2,0)+30, G2="EM45",EOMONTH(E2,0)+45, G2="EM60",EOMONTH(E2,0)+60, G2="OA15",E2+15, G2="OA30",E2+30, G2="OA60",E2+60 )</f>
        <v>46203</v>
      </c>
      <c r="G2" s="2" t="s">
        <v>27</v>
      </c>
      <c r="H2" s="3">
        <v>124000</v>
      </c>
      <c r="I2" s="4">
        <f>INDEX(Customer_list!$G$2:$G$21,MATCH(B2,Customer_list!$B$2:$B$21,0))</f>
        <v>0.97</v>
      </c>
      <c r="J2" s="5" t="s">
        <v>28</v>
      </c>
      <c r="K2" s="6">
        <v>46203</v>
      </c>
      <c r="L2" s="6">
        <f>IF(J2="Collected",K2,IF(J2="Open",F2,F2+INDEX(Customer_list!$H$2:$H$21,MATCH(B2,Customer_list!$B$2:$B$21,0))*Weekly_Cash_Flow_Summary!$B$8))</f>
        <v>46203</v>
      </c>
      <c r="M2" s="7">
        <f>MIN(1,MAX(0,I2+Weekly_Cash_Flow_Summary!$B$7))</f>
        <v>0.97</v>
      </c>
    </row>
    <row r="3" spans="1:13" ht="15" customHeight="1" x14ac:dyDescent="0.2">
      <c r="A3" s="2" t="s">
        <v>29</v>
      </c>
      <c r="B3" s="2" t="s">
        <v>30</v>
      </c>
      <c r="C3" s="2" t="s">
        <v>31</v>
      </c>
      <c r="D3" s="2" t="s">
        <v>26</v>
      </c>
      <c r="E3" s="6">
        <v>46132</v>
      </c>
      <c r="F3" s="6">
        <f t="array" ref="F3">_xlfn.IFS(G3="EM15",EOMONTH(E3,0)+15, G3="EM30",EOMONTH(E3,0)+30, G3="EM45",EOMONTH(E3,0)+45, G3="EM60",EOMONTH(E3,0)+60, G3="OA15",E3+15, G3="OA30",E3+30, G3="OA60",E3+60 )</f>
        <v>46172</v>
      </c>
      <c r="G3" s="2" t="s">
        <v>27</v>
      </c>
      <c r="H3" s="3">
        <v>305500</v>
      </c>
      <c r="I3" s="4">
        <f>INDEX(Customer_list!$G$2:$G$21,MATCH(B3,Customer_list!$B$2:$B$21,0))</f>
        <v>0.9</v>
      </c>
      <c r="J3" s="5" t="s">
        <v>28</v>
      </c>
      <c r="K3" s="6">
        <v>46178</v>
      </c>
      <c r="L3" s="6">
        <f>IF(J3="Collected",K3,IF(J3="Open",F3,F3+INDEX(Customer_list!$H$2:$H$21,MATCH(B3,Customer_list!$B$2:$B$21,0))*Weekly_Cash_Flow_Summary!$B$8))</f>
        <v>46178</v>
      </c>
      <c r="M3" s="7">
        <f>MIN(1,MAX(0,I3+Weekly_Cash_Flow_Summary!$B$7))</f>
        <v>0.9</v>
      </c>
    </row>
    <row r="4" spans="1:13" ht="15" customHeight="1" x14ac:dyDescent="0.2">
      <c r="A4" s="2" t="s">
        <v>32</v>
      </c>
      <c r="B4" s="2" t="s">
        <v>33</v>
      </c>
      <c r="C4" s="2" t="s">
        <v>34</v>
      </c>
      <c r="D4" s="2" t="s">
        <v>26</v>
      </c>
      <c r="E4" s="6">
        <v>46163</v>
      </c>
      <c r="F4" s="6">
        <f t="array" ref="F4">_xlfn.IFS(G4="EM15",EOMONTH(E4,0)+15, G4="EM30",EOMONTH(E4,0)+30, G4="EM45",EOMONTH(E4,0)+45, G4="EM60",EOMONTH(E4,0)+60, G4="OA15",E4+15, G4="OA30",E4+30, G4="OA60",E4+60 )</f>
        <v>46193</v>
      </c>
      <c r="G4" s="2" t="s">
        <v>35</v>
      </c>
      <c r="H4" s="3">
        <v>329000</v>
      </c>
      <c r="I4" s="4">
        <f>INDEX(Customer_list!$G$2:$G$21,MATCH(B4,Customer_list!$B$2:$B$21,0))</f>
        <v>0.97</v>
      </c>
      <c r="J4" s="5" t="s">
        <v>28</v>
      </c>
      <c r="K4" s="6">
        <v>46193</v>
      </c>
      <c r="L4" s="6">
        <f>IF(J4="Collected",K4,IF(J4="Open",F4,F4+INDEX(Customer_list!$H$2:$H$21,MATCH(B4,Customer_list!$B$2:$B$21,0))*Weekly_Cash_Flow_Summary!$B$8))</f>
        <v>46193</v>
      </c>
      <c r="M4" s="7">
        <f>MIN(1,MAX(0,I4+Weekly_Cash_Flow_Summary!$B$7))</f>
        <v>0.97</v>
      </c>
    </row>
    <row r="5" spans="1:13" ht="15" customHeight="1" x14ac:dyDescent="0.2">
      <c r="A5" s="2" t="s">
        <v>36</v>
      </c>
      <c r="B5" s="2" t="s">
        <v>30</v>
      </c>
      <c r="C5" s="2" t="s">
        <v>31</v>
      </c>
      <c r="D5" s="2" t="s">
        <v>26</v>
      </c>
      <c r="E5" s="6">
        <v>46196</v>
      </c>
      <c r="F5" s="6">
        <f t="array" ref="F5">_xlfn.IFS(G5="EM15",EOMONTH(E5,0)+15, G5="EM30",EOMONTH(E5,0)+30, G5="EM45",EOMONTH(E5,0)+45, G5="EM60",EOMONTH(E5,0)+60, G5="OA15",E5+15, G5="OA30",E5+30, G5="OA60",E5+60 )</f>
        <v>46233</v>
      </c>
      <c r="G5" s="2" t="s">
        <v>27</v>
      </c>
      <c r="H5" s="3">
        <v>103500</v>
      </c>
      <c r="I5" s="4">
        <f>INDEX(Customer_list!$G$2:$G$21,MATCH(B5,Customer_list!$B$2:$B$21,0))</f>
        <v>0.9</v>
      </c>
      <c r="J5" s="5" t="s">
        <v>37</v>
      </c>
      <c r="K5" s="6"/>
      <c r="L5" s="6">
        <f>IF(J5="Collected",K5,IF(J5="Open",F5,F5+INDEX(Customer_list!$H$2:$H$21,MATCH(B5,Customer_list!$B$2:$B$21,0))*Weekly_Cash_Flow_Summary!$B$8))</f>
        <v>46233</v>
      </c>
      <c r="M5" s="7">
        <f>MIN(1,MAX(0,I5+Weekly_Cash_Flow_Summary!$B$7))</f>
        <v>0.9</v>
      </c>
    </row>
    <row r="6" spans="1:13" ht="15" customHeight="1" x14ac:dyDescent="0.2">
      <c r="A6" s="2" t="s">
        <v>38</v>
      </c>
      <c r="B6" s="2" t="s">
        <v>39</v>
      </c>
      <c r="C6" s="2" t="s">
        <v>40</v>
      </c>
      <c r="D6" s="2" t="s">
        <v>41</v>
      </c>
      <c r="E6" s="6">
        <v>46119</v>
      </c>
      <c r="F6" s="6">
        <f t="array" ref="F6">_xlfn.IFS(G6="EM15",EOMONTH(E6,0)+15, G6="EM30",EOMONTH(E6,0)+30, G6="EM45",EOMONTH(E6,0)+45, G6="EM60",EOMONTH(E6,0)+60, G6="OA15",E6+15, G6="OA30",E6+30, G6="OA60",E6+60 )</f>
        <v>46134</v>
      </c>
      <c r="G6" s="2" t="s">
        <v>42</v>
      </c>
      <c r="H6" s="3">
        <v>165500</v>
      </c>
      <c r="I6" s="4">
        <f>INDEX(Customer_list!$G$2:$G$21,MATCH(B6,Customer_list!$B$2:$B$21,0))</f>
        <v>0.75</v>
      </c>
      <c r="J6" s="5" t="s">
        <v>28</v>
      </c>
      <c r="K6" s="6">
        <v>46162</v>
      </c>
      <c r="L6" s="6">
        <f>IF(J6="Collected",K6,IF(J6="Open",F6,F6+INDEX(Customer_list!$H$2:$H$21,MATCH(B6,Customer_list!$B$2:$B$21,0))*Weekly_Cash_Flow_Summary!$B$8))</f>
        <v>46162</v>
      </c>
      <c r="M6" s="7">
        <f>MIN(1,MAX(0,I6+Weekly_Cash_Flow_Summary!$B$7))</f>
        <v>0.75</v>
      </c>
    </row>
    <row r="7" spans="1:13" ht="15" customHeight="1" x14ac:dyDescent="0.2">
      <c r="A7" s="2" t="s">
        <v>43</v>
      </c>
      <c r="B7" s="2" t="s">
        <v>44</v>
      </c>
      <c r="C7" s="2" t="s">
        <v>45</v>
      </c>
      <c r="D7" s="2" t="s">
        <v>46</v>
      </c>
      <c r="E7" s="6">
        <v>46122</v>
      </c>
      <c r="F7" s="6">
        <f t="array" ref="F7">_xlfn.IFS(G7="EM15",EOMONTH(E7,0)+15, G7="EM30",EOMONTH(E7,0)+30, G7="EM45",EOMONTH(E7,0)+45, G7="EM60",EOMONTH(E7,0)+60, G7="OA15",E7+15, G7="OA30",E7+30, G7="OA60",E7+60 )</f>
        <v>46152</v>
      </c>
      <c r="G7" s="2" t="s">
        <v>35</v>
      </c>
      <c r="H7" s="3">
        <v>73500</v>
      </c>
      <c r="I7" s="4">
        <f>INDEX(Customer_list!$G$2:$G$21,MATCH(B7,Customer_list!$B$2:$B$21,0))</f>
        <v>0.75</v>
      </c>
      <c r="J7" s="5" t="s">
        <v>47</v>
      </c>
      <c r="K7" s="6"/>
      <c r="L7" s="6">
        <f>IF(J7="Collected",K7,IF(J7="Open",F7,F7+INDEX(Customer_list!$H$2:$H$21,MATCH(B7,Customer_list!$B$2:$B$21,0))*Weekly_Cash_Flow_Summary!$B$8))</f>
        <v>46177</v>
      </c>
      <c r="M7" s="7">
        <f>MIN(1,MAX(0,I7+Weekly_Cash_Flow_Summary!$B$7))</f>
        <v>0.75</v>
      </c>
    </row>
    <row r="8" spans="1:13" ht="15" customHeight="1" x14ac:dyDescent="0.2">
      <c r="A8" s="2" t="s">
        <v>48</v>
      </c>
      <c r="B8" s="2" t="s">
        <v>49</v>
      </c>
      <c r="C8" s="2" t="s">
        <v>50</v>
      </c>
      <c r="D8" s="2" t="s">
        <v>41</v>
      </c>
      <c r="E8" s="6">
        <v>46218</v>
      </c>
      <c r="F8" s="6">
        <f t="array" ref="F8">_xlfn.IFS(G8="EM15",EOMONTH(E8,0)+15, G8="EM30",EOMONTH(E8,0)+30, G8="EM45",EOMONTH(E8,0)+45, G8="EM60",EOMONTH(E8,0)+60, G8="OA15",E8+15, G8="OA30",E8+30, G8="OA60",E8+60 )</f>
        <v>46248</v>
      </c>
      <c r="G8" s="2" t="s">
        <v>35</v>
      </c>
      <c r="H8" s="3">
        <v>208000</v>
      </c>
      <c r="I8" s="4">
        <f>INDEX(Customer_list!$G$2:$G$21,MATCH(B8,Customer_list!$B$2:$B$21,0))</f>
        <v>0.75</v>
      </c>
      <c r="J8" s="5" t="s">
        <v>37</v>
      </c>
      <c r="K8" s="6"/>
      <c r="L8" s="6">
        <f>IF(J8="Collected",K8,IF(J8="Open",F8,F8+INDEX(Customer_list!$H$2:$H$21,MATCH(B8,Customer_list!$B$2:$B$21,0))*Weekly_Cash_Flow_Summary!$B$8))</f>
        <v>46248</v>
      </c>
      <c r="M8" s="7">
        <f>MIN(1,MAX(0,I8+Weekly_Cash_Flow_Summary!$B$7))</f>
        <v>0.75</v>
      </c>
    </row>
    <row r="9" spans="1:13" ht="15" customHeight="1" x14ac:dyDescent="0.2">
      <c r="A9" s="2" t="s">
        <v>51</v>
      </c>
      <c r="B9" s="2" t="s">
        <v>30</v>
      </c>
      <c r="C9" s="2" t="s">
        <v>31</v>
      </c>
      <c r="D9" s="2" t="s">
        <v>26</v>
      </c>
      <c r="E9" s="6">
        <v>46181</v>
      </c>
      <c r="F9" s="6">
        <f t="array" ref="F9">_xlfn.IFS(G9="EM15",EOMONTH(E9,0)+15, G9="EM30",EOMONTH(E9,0)+30, G9="EM45",EOMONTH(E9,0)+45, G9="EM60",EOMONTH(E9,0)+60, G9="OA15",E9+15, G9="OA30",E9+30, G9="OA60",E9+60 )</f>
        <v>46233</v>
      </c>
      <c r="G9" s="2" t="s">
        <v>27</v>
      </c>
      <c r="H9" s="3">
        <v>336500</v>
      </c>
      <c r="I9" s="4">
        <f>INDEX(Customer_list!$G$2:$G$21,MATCH(B9,Customer_list!$B$2:$B$21,0))</f>
        <v>0.9</v>
      </c>
      <c r="J9" s="5" t="s">
        <v>37</v>
      </c>
      <c r="K9" s="6"/>
      <c r="L9" s="6">
        <f>IF(J9="Collected",K9,IF(J9="Open",F9,F9+INDEX(Customer_list!$H$2:$H$21,MATCH(B9,Customer_list!$B$2:$B$21,0))*Weekly_Cash_Flow_Summary!$B$8))</f>
        <v>46233</v>
      </c>
      <c r="M9" s="7">
        <f>MIN(1,MAX(0,I9+Weekly_Cash_Flow_Summary!$B$7))</f>
        <v>0.9</v>
      </c>
    </row>
    <row r="10" spans="1:13" ht="15" customHeight="1" x14ac:dyDescent="0.2">
      <c r="A10" s="2" t="s">
        <v>52</v>
      </c>
      <c r="B10" s="2" t="s">
        <v>53</v>
      </c>
      <c r="C10" s="2" t="s">
        <v>54</v>
      </c>
      <c r="D10" s="2" t="s">
        <v>46</v>
      </c>
      <c r="E10" s="6">
        <v>46125</v>
      </c>
      <c r="F10" s="6">
        <f t="array" ref="F10">_xlfn.IFS(G10="EM15",EOMONTH(E10,0)+15, G10="EM30",EOMONTH(E10,0)+30, G10="EM45",EOMONTH(E10,0)+45, G10="EM60",EOMONTH(E10,0)+60, G10="OA15",E10+15, G10="OA30",E10+30, G10="OA60",E10+60 )</f>
        <v>46202</v>
      </c>
      <c r="G10" s="2" t="s">
        <v>55</v>
      </c>
      <c r="H10" s="3">
        <v>261000</v>
      </c>
      <c r="I10" s="4">
        <f>INDEX(Customer_list!$G$2:$G$21,MATCH(B10,Customer_list!$B$2:$B$21,0))</f>
        <v>0.97</v>
      </c>
      <c r="J10" s="5" t="s">
        <v>28</v>
      </c>
      <c r="K10" s="6">
        <v>46208</v>
      </c>
      <c r="L10" s="6">
        <f>IF(J10="Collected",K10,IF(J10="Open",F10,F10+INDEX(Customer_list!$H$2:$H$21,MATCH(B10,Customer_list!$B$2:$B$21,0))*Weekly_Cash_Flow_Summary!$B$8))</f>
        <v>46208</v>
      </c>
      <c r="M10" s="7">
        <f>MIN(1,MAX(0,I10+Weekly_Cash_Flow_Summary!$B$7))</f>
        <v>0.97</v>
      </c>
    </row>
    <row r="11" spans="1:13" ht="15" customHeight="1" x14ac:dyDescent="0.2">
      <c r="A11" s="2" t="s">
        <v>56</v>
      </c>
      <c r="B11" s="2" t="s">
        <v>49</v>
      </c>
      <c r="C11" s="2" t="s">
        <v>50</v>
      </c>
      <c r="D11" s="2" t="s">
        <v>41</v>
      </c>
      <c r="E11" s="6">
        <v>46159</v>
      </c>
      <c r="F11" s="6">
        <f t="array" ref="F11">_xlfn.IFS(G11="EM15",EOMONTH(E11,0)+15, G11="EM30",EOMONTH(E11,0)+30, G11="EM45",EOMONTH(E11,0)+45, G11="EM60",EOMONTH(E11,0)+60, G11="OA15",E11+15, G11="OA30",E11+30, G11="OA60",E11+60 )</f>
        <v>46189</v>
      </c>
      <c r="G11" s="2" t="s">
        <v>35</v>
      </c>
      <c r="H11" s="3">
        <v>301000</v>
      </c>
      <c r="I11" s="4">
        <f>INDEX(Customer_list!$G$2:$G$21,MATCH(B11,Customer_list!$B$2:$B$21,0))</f>
        <v>0.75</v>
      </c>
      <c r="J11" s="5" t="s">
        <v>47</v>
      </c>
      <c r="K11" s="6"/>
      <c r="L11" s="6">
        <f>IF(J11="Collected",K11,IF(J11="Open",F11,F11+INDEX(Customer_list!$H$2:$H$21,MATCH(B11,Customer_list!$B$2:$B$21,0))*Weekly_Cash_Flow_Summary!$B$8))</f>
        <v>46214</v>
      </c>
      <c r="M11" s="7">
        <f>MIN(1,MAX(0,I11+Weekly_Cash_Flow_Summary!$B$7))</f>
        <v>0.75</v>
      </c>
    </row>
    <row r="12" spans="1:13" ht="15" customHeight="1" x14ac:dyDescent="0.2">
      <c r="A12" s="2" t="s">
        <v>57</v>
      </c>
      <c r="B12" s="2" t="s">
        <v>58</v>
      </c>
      <c r="C12" s="2" t="s">
        <v>59</v>
      </c>
      <c r="D12" s="2" t="s">
        <v>41</v>
      </c>
      <c r="E12" s="6">
        <v>46187</v>
      </c>
      <c r="F12" s="6">
        <f t="array" ref="F12">_xlfn.IFS(G12="EM15",EOMONTH(E12,0)+15, G12="EM30",EOMONTH(E12,0)+30, G12="EM45",EOMONTH(E12,0)+45, G12="EM60",EOMONTH(E12,0)+60, G12="OA15",E12+15, G12="OA30",E12+30, G12="OA60",E12+60 )</f>
        <v>46217</v>
      </c>
      <c r="G12" s="2" t="s">
        <v>35</v>
      </c>
      <c r="H12" s="3">
        <v>61500</v>
      </c>
      <c r="I12" s="4">
        <f>INDEX(Customer_list!$G$2:$G$21,MATCH(B12,Customer_list!$B$2:$B$21,0))</f>
        <v>0.9</v>
      </c>
      <c r="J12" s="5" t="s">
        <v>47</v>
      </c>
      <c r="K12" s="6"/>
      <c r="L12" s="6">
        <f>IF(J12="Collected",K12,IF(J12="Open",F12,F12+INDEX(Customer_list!$H$2:$H$21,MATCH(B12,Customer_list!$B$2:$B$21,0))*Weekly_Cash_Flow_Summary!$B$8))</f>
        <v>46227</v>
      </c>
      <c r="M12" s="7">
        <f>MIN(1,MAX(0,I12+Weekly_Cash_Flow_Summary!$B$7))</f>
        <v>0.9</v>
      </c>
    </row>
    <row r="13" spans="1:13" ht="15" customHeight="1" x14ac:dyDescent="0.2">
      <c r="A13" s="2" t="s">
        <v>60</v>
      </c>
      <c r="B13" s="2" t="s">
        <v>39</v>
      </c>
      <c r="C13" s="2" t="s">
        <v>40</v>
      </c>
      <c r="D13" s="2" t="s">
        <v>41</v>
      </c>
      <c r="E13" s="6">
        <v>46120</v>
      </c>
      <c r="F13" s="6">
        <f t="array" ref="F13">_xlfn.IFS(G13="EM15",EOMONTH(E13,0)+15, G13="EM30",EOMONTH(E13,0)+30, G13="EM45",EOMONTH(E13,0)+45, G13="EM60",EOMONTH(E13,0)+60, G13="OA15",E13+15, G13="OA30",E13+30, G13="OA60",E13+60 )</f>
        <v>46135</v>
      </c>
      <c r="G13" s="2" t="s">
        <v>42</v>
      </c>
      <c r="H13" s="3">
        <v>322500</v>
      </c>
      <c r="I13" s="4">
        <f>INDEX(Customer_list!$G$2:$G$21,MATCH(B13,Customer_list!$B$2:$B$21,0))</f>
        <v>0.75</v>
      </c>
      <c r="J13" s="5" t="s">
        <v>28</v>
      </c>
      <c r="K13" s="6">
        <v>46162</v>
      </c>
      <c r="L13" s="6">
        <f>IF(J13="Collected",K13,IF(J13="Open",F13,F13+INDEX(Customer_list!$H$2:$H$21,MATCH(B13,Customer_list!$B$2:$B$21,0))*Weekly_Cash_Flow_Summary!$B$8))</f>
        <v>46162</v>
      </c>
      <c r="M13" s="7">
        <f>MIN(1,MAX(0,I13+Weekly_Cash_Flow_Summary!$B$7))</f>
        <v>0.75</v>
      </c>
    </row>
    <row r="14" spans="1:13" ht="15" customHeight="1" x14ac:dyDescent="0.2">
      <c r="A14" s="2" t="s">
        <v>61</v>
      </c>
      <c r="B14" s="2" t="s">
        <v>39</v>
      </c>
      <c r="C14" s="2" t="s">
        <v>40</v>
      </c>
      <c r="D14" s="2" t="s">
        <v>41</v>
      </c>
      <c r="E14" s="6">
        <v>46229</v>
      </c>
      <c r="F14" s="6">
        <f t="array" ref="F14">_xlfn.IFS(G14="EM15",EOMONTH(E14,0)+15, G14="EM30",EOMONTH(E14,0)+30, G14="EM45",EOMONTH(E14,0)+45, G14="EM60",EOMONTH(E14,0)+60, G14="OA15",E14+15, G14="OA30",E14+30, G14="OA60",E14+60 )</f>
        <v>46244</v>
      </c>
      <c r="G14" s="2" t="s">
        <v>42</v>
      </c>
      <c r="H14" s="3">
        <v>44000</v>
      </c>
      <c r="I14" s="4">
        <f>INDEX(Customer_list!$G$2:$G$21,MATCH(B14,Customer_list!$B$2:$B$21,0))</f>
        <v>0.75</v>
      </c>
      <c r="J14" s="5" t="s">
        <v>37</v>
      </c>
      <c r="K14" s="6"/>
      <c r="L14" s="6">
        <f>IF(J14="Collected",K14,IF(J14="Open",F14,F14+INDEX(Customer_list!$H$2:$H$21,MATCH(B14,Customer_list!$B$2:$B$21,0))*Weekly_Cash_Flow_Summary!$B$8))</f>
        <v>46244</v>
      </c>
      <c r="M14" s="7">
        <f>MIN(1,MAX(0,I14+Weekly_Cash_Flow_Summary!$B$7))</f>
        <v>0.75</v>
      </c>
    </row>
    <row r="15" spans="1:13" ht="15" customHeight="1" x14ac:dyDescent="0.2">
      <c r="A15" s="2" t="s">
        <v>62</v>
      </c>
      <c r="B15" s="2" t="s">
        <v>63</v>
      </c>
      <c r="C15" s="2" t="s">
        <v>64</v>
      </c>
      <c r="D15" s="2" t="s">
        <v>41</v>
      </c>
      <c r="E15" s="6">
        <v>46177</v>
      </c>
      <c r="F15" s="6">
        <f t="array" ref="F15">_xlfn.IFS(G15="EM15",EOMONTH(E15,0)+15, G15="EM30",EOMONTH(E15,0)+30, G15="EM45",EOMONTH(E15,0)+45, G15="EM60",EOMONTH(E15,0)+60, G15="OA15",E15+15, G15="OA30",E15+30, G15="OA60",E15+60 )</f>
        <v>46237</v>
      </c>
      <c r="G15" s="2" t="s">
        <v>65</v>
      </c>
      <c r="H15" s="3">
        <v>62000</v>
      </c>
      <c r="I15" s="4">
        <f>INDEX(Customer_list!$G$2:$G$21,MATCH(B15,Customer_list!$B$2:$B$21,0))</f>
        <v>0.9</v>
      </c>
      <c r="J15" s="5" t="s">
        <v>37</v>
      </c>
      <c r="K15" s="6"/>
      <c r="L15" s="6">
        <f>IF(J15="Collected",K15,IF(J15="Open",F15,F15+INDEX(Customer_list!$H$2:$H$21,MATCH(B15,Customer_list!$B$2:$B$21,0))*Weekly_Cash_Flow_Summary!$B$8))</f>
        <v>46237</v>
      </c>
      <c r="M15" s="7">
        <f>MIN(1,MAX(0,I15+Weekly_Cash_Flow_Summary!$B$7))</f>
        <v>0.9</v>
      </c>
    </row>
    <row r="16" spans="1:13" ht="15" customHeight="1" x14ac:dyDescent="0.2">
      <c r="A16" s="2" t="s">
        <v>66</v>
      </c>
      <c r="B16" s="2" t="s">
        <v>67</v>
      </c>
      <c r="C16" s="2" t="s">
        <v>68</v>
      </c>
      <c r="D16" s="2" t="s">
        <v>41</v>
      </c>
      <c r="E16" s="6">
        <v>46140</v>
      </c>
      <c r="F16" s="6">
        <f t="array" ref="F16">_xlfn.IFS(G16="EM15",EOMONTH(E16,0)+15, G16="EM30",EOMONTH(E16,0)+30, G16="EM45",EOMONTH(E16,0)+45, G16="EM60",EOMONTH(E16,0)+60, G16="OA15",E16+15, G16="OA30",E16+30, G16="OA60",E16+60 )</f>
        <v>46157</v>
      </c>
      <c r="G16" s="2" t="s">
        <v>69</v>
      </c>
      <c r="H16" s="3">
        <v>219500</v>
      </c>
      <c r="I16" s="4">
        <f>INDEX(Customer_list!$G$2:$G$21,MATCH(B16,Customer_list!$B$2:$B$21,0))</f>
        <v>0.9</v>
      </c>
      <c r="J16" s="5" t="s">
        <v>28</v>
      </c>
      <c r="K16" s="6">
        <v>46167</v>
      </c>
      <c r="L16" s="6">
        <f>IF(J16="Collected",K16,IF(J16="Open",F16,F16+INDEX(Customer_list!$H$2:$H$21,MATCH(B16,Customer_list!$B$2:$B$21,0))*Weekly_Cash_Flow_Summary!$B$8))</f>
        <v>46167</v>
      </c>
      <c r="M16" s="7">
        <f>MIN(1,MAX(0,I16+Weekly_Cash_Flow_Summary!$B$7))</f>
        <v>0.9</v>
      </c>
    </row>
    <row r="17" spans="1:13" ht="15" customHeight="1" x14ac:dyDescent="0.2">
      <c r="A17" s="2" t="s">
        <v>70</v>
      </c>
      <c r="B17" s="2" t="s">
        <v>53</v>
      </c>
      <c r="C17" s="2" t="s">
        <v>54</v>
      </c>
      <c r="D17" s="2" t="s">
        <v>46</v>
      </c>
      <c r="E17" s="6">
        <v>46117</v>
      </c>
      <c r="F17" s="6">
        <f t="array" ref="F17">_xlfn.IFS(G17="EM15",EOMONTH(E17,0)+15, G17="EM30",EOMONTH(E17,0)+30, G17="EM45",EOMONTH(E17,0)+45, G17="EM60",EOMONTH(E17,0)+60, G17="OA15",E17+15, G17="OA30",E17+30, G17="OA60",E17+60 )</f>
        <v>46202</v>
      </c>
      <c r="G17" s="2" t="s">
        <v>55</v>
      </c>
      <c r="H17" s="3">
        <v>105500</v>
      </c>
      <c r="I17" s="4">
        <f>INDEX(Customer_list!$G$2:$G$21,MATCH(B17,Customer_list!$B$2:$B$21,0))</f>
        <v>0.97</v>
      </c>
      <c r="J17" s="5" t="s">
        <v>28</v>
      </c>
      <c r="K17" s="6">
        <v>46208</v>
      </c>
      <c r="L17" s="6">
        <f>IF(J17="Collected",K17,IF(J17="Open",F17,F17+INDEX(Customer_list!$H$2:$H$21,MATCH(B17,Customer_list!$B$2:$B$21,0))*Weekly_Cash_Flow_Summary!$B$8))</f>
        <v>46208</v>
      </c>
      <c r="M17" s="7">
        <f>MIN(1,MAX(0,I17+Weekly_Cash_Flow_Summary!$B$7))</f>
        <v>0.97</v>
      </c>
    </row>
    <row r="18" spans="1:13" ht="15" customHeight="1" x14ac:dyDescent="0.2">
      <c r="A18" s="2" t="s">
        <v>71</v>
      </c>
      <c r="B18" s="2" t="s">
        <v>72</v>
      </c>
      <c r="C18" s="2" t="s">
        <v>73</v>
      </c>
      <c r="D18" s="2" t="s">
        <v>26</v>
      </c>
      <c r="E18" s="6">
        <v>46124</v>
      </c>
      <c r="F18" s="6">
        <f t="array" ref="F18">_xlfn.IFS(G18="EM15",EOMONTH(E18,0)+15, G18="EM30",EOMONTH(E18,0)+30, G18="EM45",EOMONTH(E18,0)+45, G18="EM60",EOMONTH(E18,0)+60, G18="OA15",E18+15, G18="OA30",E18+30, G18="OA60",E18+60 )</f>
        <v>46202</v>
      </c>
      <c r="G18" s="2" t="s">
        <v>55</v>
      </c>
      <c r="H18" s="3">
        <v>160000</v>
      </c>
      <c r="I18" s="4">
        <f>INDEX(Customer_list!$G$2:$G$21,MATCH(B18,Customer_list!$B$2:$B$21,0))</f>
        <v>0.97</v>
      </c>
      <c r="J18" s="5" t="s">
        <v>28</v>
      </c>
      <c r="K18" s="6">
        <v>46203</v>
      </c>
      <c r="L18" s="6">
        <f>IF(J18="Collected",K18,IF(J18="Open",F18,F18+INDEX(Customer_list!$H$2:$H$21,MATCH(B18,Customer_list!$B$2:$B$21,0))*Weekly_Cash_Flow_Summary!$B$8))</f>
        <v>46203</v>
      </c>
      <c r="M18" s="7">
        <f>MIN(1,MAX(0,I18+Weekly_Cash_Flow_Summary!$B$7))</f>
        <v>0.97</v>
      </c>
    </row>
    <row r="19" spans="1:13" ht="15" customHeight="1" x14ac:dyDescent="0.2">
      <c r="A19" s="2" t="s">
        <v>74</v>
      </c>
      <c r="B19" s="2" t="s">
        <v>63</v>
      </c>
      <c r="C19" s="2" t="s">
        <v>64</v>
      </c>
      <c r="D19" s="2" t="s">
        <v>41</v>
      </c>
      <c r="E19" s="6">
        <v>46168</v>
      </c>
      <c r="F19" s="6">
        <f t="array" ref="F19">_xlfn.IFS(G19="EM15",EOMONTH(E19,0)+15, G19="EM30",EOMONTH(E19,0)+30, G19="EM45",EOMONTH(E19,0)+45, G19="EM60",EOMONTH(E19,0)+60, G19="OA15",E19+15, G19="OA30",E19+30, G19="OA60",E19+60 )</f>
        <v>46228</v>
      </c>
      <c r="G19" s="2" t="s">
        <v>65</v>
      </c>
      <c r="H19" s="3">
        <v>339500</v>
      </c>
      <c r="I19" s="4">
        <f>INDEX(Customer_list!$G$2:$G$21,MATCH(B19,Customer_list!$B$2:$B$21,0))</f>
        <v>0.9</v>
      </c>
      <c r="J19" s="5" t="s">
        <v>47</v>
      </c>
      <c r="K19" s="6"/>
      <c r="L19" s="6">
        <f>IF(J19="Collected",K19,IF(J19="Open",F19,F19+INDEX(Customer_list!$H$2:$H$21,MATCH(B19,Customer_list!$B$2:$B$21,0))*Weekly_Cash_Flow_Summary!$B$8))</f>
        <v>46238</v>
      </c>
      <c r="M19" s="7">
        <f>MIN(1,MAX(0,I19+Weekly_Cash_Flow_Summary!$B$7))</f>
        <v>0.9</v>
      </c>
    </row>
    <row r="20" spans="1:13" ht="15" customHeight="1" x14ac:dyDescent="0.2">
      <c r="A20" s="2" t="s">
        <v>75</v>
      </c>
      <c r="B20" s="2" t="s">
        <v>76</v>
      </c>
      <c r="C20" s="2" t="s">
        <v>77</v>
      </c>
      <c r="D20" s="2" t="s">
        <v>26</v>
      </c>
      <c r="E20" s="6">
        <v>46166</v>
      </c>
      <c r="F20" s="6">
        <f t="array" ref="F20">_xlfn.IFS(G20="EM15",EOMONTH(E20,0)+15, G20="EM30",EOMONTH(E20,0)+30, G20="EM45",EOMONTH(E20,0)+45, G20="EM60",EOMONTH(E20,0)+60, G20="OA15",E20+15, G20="OA30",E20+30, G20="OA60",E20+60 )</f>
        <v>46196</v>
      </c>
      <c r="G20" s="2" t="s">
        <v>35</v>
      </c>
      <c r="H20" s="3">
        <v>109500</v>
      </c>
      <c r="I20" s="4">
        <f>INDEX(Customer_list!$G$2:$G$21,MATCH(B20,Customer_list!$B$2:$B$21,0))</f>
        <v>0.97</v>
      </c>
      <c r="J20" s="5" t="s">
        <v>28</v>
      </c>
      <c r="K20" s="6">
        <v>46203</v>
      </c>
      <c r="L20" s="6">
        <f>IF(J20="Collected",K20,IF(J20="Open",F20,F20+INDEX(Customer_list!$H$2:$H$21,MATCH(B20,Customer_list!$B$2:$B$21,0))*Weekly_Cash_Flow_Summary!$B$8))</f>
        <v>46203</v>
      </c>
      <c r="M20" s="7">
        <f>MIN(1,MAX(0,I20+Weekly_Cash_Flow_Summary!$B$7))</f>
        <v>0.97</v>
      </c>
    </row>
    <row r="21" spans="1:13" ht="15" customHeight="1" x14ac:dyDescent="0.2">
      <c r="A21" s="2" t="s">
        <v>78</v>
      </c>
      <c r="B21" s="2" t="s">
        <v>79</v>
      </c>
      <c r="C21" s="2" t="s">
        <v>80</v>
      </c>
      <c r="D21" s="2" t="s">
        <v>41</v>
      </c>
      <c r="E21" s="6">
        <v>46121</v>
      </c>
      <c r="F21" s="6">
        <f t="array" ref="F21">_xlfn.IFS(G21="EM15",EOMONTH(E21,0)+15, G21="EM30",EOMONTH(E21,0)+30, G21="EM45",EOMONTH(E21,0)+45, G21="EM60",EOMONTH(E21,0)+60, G21="OA15",E21+15, G21="OA30",E21+30, G21="OA60",E21+60 )</f>
        <v>46151</v>
      </c>
      <c r="G21" s="2" t="s">
        <v>35</v>
      </c>
      <c r="H21" s="3">
        <v>105500</v>
      </c>
      <c r="I21" s="4">
        <f>INDEX(Customer_list!$G$2:$G$21,MATCH(B21,Customer_list!$B$2:$B$21,0))</f>
        <v>0.9</v>
      </c>
      <c r="J21" s="5" t="s">
        <v>28</v>
      </c>
      <c r="K21" s="6">
        <v>46167</v>
      </c>
      <c r="L21" s="6">
        <f>IF(J21="Collected",K21,IF(J21="Open",F21,F21+INDEX(Customer_list!$H$2:$H$21,MATCH(B21,Customer_list!$B$2:$B$21,0))*Weekly_Cash_Flow_Summary!$B$8))</f>
        <v>46167</v>
      </c>
      <c r="M21" s="7">
        <f>MIN(1,MAX(0,I21+Weekly_Cash_Flow_Summary!$B$7))</f>
        <v>0.9</v>
      </c>
    </row>
    <row r="22" spans="1:13" ht="15" customHeight="1" x14ac:dyDescent="0.2">
      <c r="A22" s="2" t="s">
        <v>81</v>
      </c>
      <c r="B22" s="2" t="s">
        <v>33</v>
      </c>
      <c r="C22" s="2" t="s">
        <v>34</v>
      </c>
      <c r="D22" s="2" t="s">
        <v>26</v>
      </c>
      <c r="E22" s="6">
        <v>46143</v>
      </c>
      <c r="F22" s="6">
        <f t="array" ref="F22">_xlfn.IFS(G22="EM15",EOMONTH(E22,0)+15, G22="EM30",EOMONTH(E22,0)+30, G22="EM45",EOMONTH(E22,0)+45, G22="EM60",EOMONTH(E22,0)+60, G22="OA15",E22+15, G22="OA30",E22+30, G22="OA60",E22+60 )</f>
        <v>46173</v>
      </c>
      <c r="G22" s="2" t="s">
        <v>35</v>
      </c>
      <c r="H22" s="3">
        <v>262500</v>
      </c>
      <c r="I22" s="4">
        <f>INDEX(Customer_list!$G$2:$G$21,MATCH(B22,Customer_list!$B$2:$B$21,0))</f>
        <v>0.97</v>
      </c>
      <c r="J22" s="5" t="s">
        <v>28</v>
      </c>
      <c r="K22" s="6">
        <v>46178</v>
      </c>
      <c r="L22" s="6">
        <f>IF(J22="Collected",K22,IF(J22="Open",F22,F22+INDEX(Customer_list!$H$2:$H$21,MATCH(B22,Customer_list!$B$2:$B$21,0))*Weekly_Cash_Flow_Summary!$B$8))</f>
        <v>46178</v>
      </c>
      <c r="M22" s="7">
        <f>MIN(1,MAX(0,I22+Weekly_Cash_Flow_Summary!$B$7))</f>
        <v>0.97</v>
      </c>
    </row>
    <row r="23" spans="1:13" ht="15" customHeight="1" x14ac:dyDescent="0.2">
      <c r="A23" s="2" t="s">
        <v>82</v>
      </c>
      <c r="B23" s="2" t="s">
        <v>83</v>
      </c>
      <c r="C23" s="2" t="s">
        <v>84</v>
      </c>
      <c r="D23" s="2" t="s">
        <v>46</v>
      </c>
      <c r="E23" s="6">
        <v>46124</v>
      </c>
      <c r="F23" s="6">
        <f t="array" ref="F23">_xlfn.IFS(G23="EM15",EOMONTH(E23,0)+15, G23="EM30",EOMONTH(E23,0)+30, G23="EM45",EOMONTH(E23,0)+45, G23="EM60",EOMONTH(E23,0)+60, G23="OA15",E23+15, G23="OA30",E23+30, G23="OA60",E23+60 )</f>
        <v>46187</v>
      </c>
      <c r="G23" s="2" t="s">
        <v>85</v>
      </c>
      <c r="H23" s="3">
        <v>135000</v>
      </c>
      <c r="I23" s="4">
        <f>INDEX(Customer_list!$G$2:$G$21,MATCH(B23,Customer_list!$B$2:$B$21,0))</f>
        <v>0.75</v>
      </c>
      <c r="J23" s="5" t="s">
        <v>47</v>
      </c>
      <c r="K23" s="6"/>
      <c r="L23" s="6">
        <f>IF(J23="Collected",K23,IF(J23="Open",F23,F23+INDEX(Customer_list!$H$2:$H$21,MATCH(B23,Customer_list!$B$2:$B$21,0))*Weekly_Cash_Flow_Summary!$B$8))</f>
        <v>46212</v>
      </c>
      <c r="M23" s="7">
        <f>MIN(1,MAX(0,I23+Weekly_Cash_Flow_Summary!$B$7))</f>
        <v>0.75</v>
      </c>
    </row>
    <row r="24" spans="1:13" ht="15" customHeight="1" x14ac:dyDescent="0.2">
      <c r="A24" s="2" t="s">
        <v>86</v>
      </c>
      <c r="B24" s="2" t="s">
        <v>87</v>
      </c>
      <c r="C24" s="2" t="s">
        <v>88</v>
      </c>
      <c r="D24" s="2" t="s">
        <v>41</v>
      </c>
      <c r="E24" s="6">
        <v>46183</v>
      </c>
      <c r="F24" s="6">
        <f t="array" ref="F24">_xlfn.IFS(G24="EM15",EOMONTH(E24,0)+15, G24="EM30",EOMONTH(E24,0)+30, G24="EM45",EOMONTH(E24,0)+45, G24="EM60",EOMONTH(E24,0)+60, G24="OA15",E24+15, G24="OA30",E24+30, G24="OA60",E24+60 )</f>
        <v>46263</v>
      </c>
      <c r="G24" s="2" t="s">
        <v>55</v>
      </c>
      <c r="H24" s="3">
        <v>190000</v>
      </c>
      <c r="I24" s="4">
        <f>INDEX(Customer_list!$G$2:$G$21,MATCH(B24,Customer_list!$B$2:$B$21,0))</f>
        <v>0.9</v>
      </c>
      <c r="J24" s="5" t="s">
        <v>37</v>
      </c>
      <c r="K24" s="6"/>
      <c r="L24" s="6">
        <f>IF(J24="Collected",K24,IF(J24="Open",F24,F24+INDEX(Customer_list!$H$2:$H$21,MATCH(B24,Customer_list!$B$2:$B$21,0))*Weekly_Cash_Flow_Summary!$B$8))</f>
        <v>46263</v>
      </c>
      <c r="M24" s="7">
        <f>MIN(1,MAX(0,I24+Weekly_Cash_Flow_Summary!$B$7))</f>
        <v>0.9</v>
      </c>
    </row>
    <row r="25" spans="1:13" ht="15" customHeight="1" x14ac:dyDescent="0.2">
      <c r="A25" s="2" t="s">
        <v>89</v>
      </c>
      <c r="B25" s="2" t="s">
        <v>83</v>
      </c>
      <c r="C25" s="2" t="s">
        <v>84</v>
      </c>
      <c r="D25" s="2" t="s">
        <v>46</v>
      </c>
      <c r="E25" s="6">
        <v>46167</v>
      </c>
      <c r="F25" s="6">
        <f t="array" ref="F25">_xlfn.IFS(G25="EM15",EOMONTH(E25,0)+15, G25="EM30",EOMONTH(E25,0)+30, G25="EM45",EOMONTH(E25,0)+45, G25="EM60",EOMONTH(E25,0)+60, G25="OA15",E25+15, G25="OA30",E25+30, G25="OA60",E25+60 )</f>
        <v>46218</v>
      </c>
      <c r="G25" s="2" t="s">
        <v>85</v>
      </c>
      <c r="H25" s="3">
        <v>140000</v>
      </c>
      <c r="I25" s="4">
        <f>INDEX(Customer_list!$G$2:$G$21,MATCH(B25,Customer_list!$B$2:$B$21,0))</f>
        <v>0.75</v>
      </c>
      <c r="J25" s="5" t="s">
        <v>47</v>
      </c>
      <c r="K25" s="6"/>
      <c r="L25" s="6">
        <f>IF(J25="Collected",K25,IF(J25="Open",F25,F25+INDEX(Customer_list!$H$2:$H$21,MATCH(B25,Customer_list!$B$2:$B$21,0))*Weekly_Cash_Flow_Summary!$B$8))</f>
        <v>46243</v>
      </c>
      <c r="M25" s="7">
        <f>MIN(1,MAX(0,I25+Weekly_Cash_Flow_Summary!$B$7))</f>
        <v>0.75</v>
      </c>
    </row>
    <row r="26" spans="1:13" ht="15" customHeight="1" x14ac:dyDescent="0.2">
      <c r="A26" s="2" t="s">
        <v>90</v>
      </c>
      <c r="B26" s="2" t="s">
        <v>91</v>
      </c>
      <c r="C26" s="2" t="s">
        <v>92</v>
      </c>
      <c r="D26" s="2" t="s">
        <v>26</v>
      </c>
      <c r="E26" s="6">
        <v>46120</v>
      </c>
      <c r="F26" s="6">
        <f t="array" ref="F26">_xlfn.IFS(G26="EM15",EOMONTH(E26,0)+15, G26="EM30",EOMONTH(E26,0)+30, G26="EM45",EOMONTH(E26,0)+45, G26="EM60",EOMONTH(E26,0)+60, G26="OA15",E26+15, G26="OA30",E26+30, G26="OA60",E26+60 )</f>
        <v>46187</v>
      </c>
      <c r="G26" s="2" t="s">
        <v>85</v>
      </c>
      <c r="H26" s="3">
        <v>185500</v>
      </c>
      <c r="I26" s="4">
        <f>INDEX(Customer_list!$G$2:$G$21,MATCH(B26,Customer_list!$B$2:$B$21,0))</f>
        <v>0.97</v>
      </c>
      <c r="J26" s="5" t="s">
        <v>28</v>
      </c>
      <c r="K26" s="6">
        <v>46188</v>
      </c>
      <c r="L26" s="6">
        <f>IF(J26="Collected",K26,IF(J26="Open",F26,F26+INDEX(Customer_list!$H$2:$H$21,MATCH(B26,Customer_list!$B$2:$B$21,0))*Weekly_Cash_Flow_Summary!$B$8))</f>
        <v>46188</v>
      </c>
      <c r="M26" s="7">
        <f>MIN(1,MAX(0,I26+Weekly_Cash_Flow_Summary!$B$7))</f>
        <v>0.97</v>
      </c>
    </row>
    <row r="27" spans="1:13" ht="15" customHeight="1" x14ac:dyDescent="0.2">
      <c r="A27" s="2" t="s">
        <v>93</v>
      </c>
      <c r="B27" s="2" t="s">
        <v>94</v>
      </c>
      <c r="C27" s="2" t="s">
        <v>95</v>
      </c>
      <c r="D27" s="2" t="s">
        <v>41</v>
      </c>
      <c r="E27" s="6">
        <v>46218</v>
      </c>
      <c r="F27" s="6">
        <f t="array" ref="F27">_xlfn.IFS(G27="EM15",EOMONTH(E27,0)+15, G27="EM30",EOMONTH(E27,0)+30, G27="EM45",EOMONTH(E27,0)+45, G27="EM60",EOMONTH(E27,0)+60, G27="OA15",E27+15, G27="OA30",E27+30, G27="OA60",E27+60 )</f>
        <v>46294</v>
      </c>
      <c r="G27" s="2" t="s">
        <v>55</v>
      </c>
      <c r="H27" s="3">
        <v>130500</v>
      </c>
      <c r="I27" s="4">
        <f>INDEX(Customer_list!$G$2:$G$21,MATCH(B27,Customer_list!$B$2:$B$21,0))</f>
        <v>0.9</v>
      </c>
      <c r="J27" s="5" t="s">
        <v>37</v>
      </c>
      <c r="K27" s="6"/>
      <c r="L27" s="6">
        <f>IF(J27="Collected",K27,IF(J27="Open",F27,F27+INDEX(Customer_list!$H$2:$H$21,MATCH(B27,Customer_list!$B$2:$B$21,0))*Weekly_Cash_Flow_Summary!$B$8))</f>
        <v>46294</v>
      </c>
      <c r="M27" s="7">
        <f>MIN(1,MAX(0,I27+Weekly_Cash_Flow_Summary!$B$7))</f>
        <v>0.9</v>
      </c>
    </row>
    <row r="28" spans="1:13" ht="15" customHeight="1" x14ac:dyDescent="0.2">
      <c r="A28" s="2" t="s">
        <v>96</v>
      </c>
      <c r="B28" s="2" t="s">
        <v>58</v>
      </c>
      <c r="C28" s="2" t="s">
        <v>59</v>
      </c>
      <c r="D28" s="2" t="s">
        <v>41</v>
      </c>
      <c r="E28" s="6">
        <v>46185</v>
      </c>
      <c r="F28" s="6">
        <f t="array" ref="F28">_xlfn.IFS(G28="EM15",EOMONTH(E28,0)+15, G28="EM30",EOMONTH(E28,0)+30, G28="EM45",EOMONTH(E28,0)+45, G28="EM60",EOMONTH(E28,0)+60, G28="OA15",E28+15, G28="OA30",E28+30, G28="OA60",E28+60 )</f>
        <v>46215</v>
      </c>
      <c r="G28" s="2" t="s">
        <v>35</v>
      </c>
      <c r="H28" s="3">
        <v>317500</v>
      </c>
      <c r="I28" s="4">
        <f>INDEX(Customer_list!$G$2:$G$21,MATCH(B28,Customer_list!$B$2:$B$21,0))</f>
        <v>0.9</v>
      </c>
      <c r="J28" s="5" t="s">
        <v>47</v>
      </c>
      <c r="K28" s="6"/>
      <c r="L28" s="6">
        <f>IF(J28="Collected",K28,IF(J28="Open",F28,F28+INDEX(Customer_list!$H$2:$H$21,MATCH(B28,Customer_list!$B$2:$B$21,0))*Weekly_Cash_Flow_Summary!$B$8))</f>
        <v>46225</v>
      </c>
      <c r="M28" s="7">
        <f>MIN(1,MAX(0,I28+Weekly_Cash_Flow_Summary!$B$7))</f>
        <v>0.9</v>
      </c>
    </row>
    <row r="29" spans="1:13" ht="15" customHeight="1" x14ac:dyDescent="0.2">
      <c r="A29" s="2" t="s">
        <v>97</v>
      </c>
      <c r="B29" s="2" t="s">
        <v>33</v>
      </c>
      <c r="C29" s="2" t="s">
        <v>34</v>
      </c>
      <c r="D29" s="2" t="s">
        <v>26</v>
      </c>
      <c r="E29" s="6">
        <v>46128</v>
      </c>
      <c r="F29" s="6">
        <f t="array" ref="F29">_xlfn.IFS(G29="EM15",EOMONTH(E29,0)+15, G29="EM30",EOMONTH(E29,0)+30, G29="EM45",EOMONTH(E29,0)+45, G29="EM60",EOMONTH(E29,0)+60, G29="OA15",E29+15, G29="OA30",E29+30, G29="OA60",E29+60 )</f>
        <v>46158</v>
      </c>
      <c r="G29" s="2" t="s">
        <v>35</v>
      </c>
      <c r="H29" s="3">
        <v>131500</v>
      </c>
      <c r="I29" s="4">
        <f>INDEX(Customer_list!$G$2:$G$21,MATCH(B29,Customer_list!$B$2:$B$21,0))</f>
        <v>0.97</v>
      </c>
      <c r="J29" s="5" t="s">
        <v>28</v>
      </c>
      <c r="K29" s="6">
        <v>46162</v>
      </c>
      <c r="L29" s="6">
        <f>IF(J29="Collected",K29,IF(J29="Open",F29,F29+INDEX(Customer_list!$H$2:$H$21,MATCH(B29,Customer_list!$B$2:$B$21,0))*Weekly_Cash_Flow_Summary!$B$8))</f>
        <v>46162</v>
      </c>
      <c r="M29" s="7">
        <f>MIN(1,MAX(0,I29+Weekly_Cash_Flow_Summary!$B$7))</f>
        <v>0.97</v>
      </c>
    </row>
    <row r="30" spans="1:13" ht="15" customHeight="1" x14ac:dyDescent="0.2">
      <c r="A30" s="2" t="s">
        <v>98</v>
      </c>
      <c r="B30" s="2" t="s">
        <v>94</v>
      </c>
      <c r="C30" s="2" t="s">
        <v>95</v>
      </c>
      <c r="D30" s="2" t="s">
        <v>41</v>
      </c>
      <c r="E30" s="6">
        <v>46141</v>
      </c>
      <c r="F30" s="6">
        <f t="array" ref="F30">_xlfn.IFS(G30="EM15",EOMONTH(E30,0)+15, G30="EM30",EOMONTH(E30,0)+30, G30="EM45",EOMONTH(E30,0)+45, G30="EM60",EOMONTH(E30,0)+60, G30="OA15",E30+15, G30="OA30",E30+30, G30="OA60",E30+60 )</f>
        <v>46202</v>
      </c>
      <c r="G30" s="2" t="s">
        <v>55</v>
      </c>
      <c r="H30" s="3">
        <v>281500</v>
      </c>
      <c r="I30" s="4">
        <f>INDEX(Customer_list!$G$2:$G$21,MATCH(B30,Customer_list!$B$2:$B$21,0))</f>
        <v>0.9</v>
      </c>
      <c r="J30" s="5" t="s">
        <v>28</v>
      </c>
      <c r="K30" s="6">
        <v>46208</v>
      </c>
      <c r="L30" s="6">
        <f>IF(J30="Collected",K30,IF(J30="Open",F30,F30+INDEX(Customer_list!$H$2:$H$21,MATCH(B30,Customer_list!$B$2:$B$21,0))*Weekly_Cash_Flow_Summary!$B$8))</f>
        <v>46208</v>
      </c>
      <c r="M30" s="7">
        <f>MIN(1,MAX(0,I30+Weekly_Cash_Flow_Summary!$B$7))</f>
        <v>0.9</v>
      </c>
    </row>
    <row r="31" spans="1:13" ht="15" customHeight="1" x14ac:dyDescent="0.2">
      <c r="A31" s="2" t="s">
        <v>99</v>
      </c>
      <c r="B31" s="2" t="s">
        <v>100</v>
      </c>
      <c r="C31" s="2" t="s">
        <v>101</v>
      </c>
      <c r="D31" s="2" t="s">
        <v>46</v>
      </c>
      <c r="E31" s="6">
        <v>46193</v>
      </c>
      <c r="F31" s="6">
        <f t="array" ref="F31">_xlfn.IFS(G31="EM15",EOMONTH(E31,0)+15, G31="EM30",EOMONTH(E31,0)+30, G31="EM45",EOMONTH(E31,0)+45, G31="EM60",EOMONTH(E31,0)+60, G31="OA15",E31+15, G31="OA30",E31+30, G31="OA60",E31+60 )</f>
        <v>46218</v>
      </c>
      <c r="G31" s="2" t="s">
        <v>69</v>
      </c>
      <c r="H31" s="3">
        <v>95000</v>
      </c>
      <c r="I31" s="4">
        <f>INDEX(Customer_list!$G$2:$G$21,MATCH(B31,Customer_list!$B$2:$B$21,0))</f>
        <v>0.97</v>
      </c>
      <c r="J31" s="5" t="s">
        <v>28</v>
      </c>
      <c r="K31" s="6">
        <v>46218</v>
      </c>
      <c r="L31" s="6">
        <f>IF(J31="Collected",K31,IF(J31="Open",F31,F31+INDEX(Customer_list!$H$2:$H$21,MATCH(B31,Customer_list!$B$2:$B$21,0))*Weekly_Cash_Flow_Summary!$B$8))</f>
        <v>46218</v>
      </c>
      <c r="M31" s="7">
        <f>MIN(1,MAX(0,I31+Weekly_Cash_Flow_Summary!$B$7))</f>
        <v>0.97</v>
      </c>
    </row>
    <row r="32" spans="1:13" ht="15" customHeight="1" x14ac:dyDescent="0.2">
      <c r="A32" s="2" t="s">
        <v>102</v>
      </c>
      <c r="B32" s="2" t="s">
        <v>24</v>
      </c>
      <c r="C32" s="2" t="s">
        <v>25</v>
      </c>
      <c r="D32" s="2" t="s">
        <v>26</v>
      </c>
      <c r="E32" s="6">
        <v>46193</v>
      </c>
      <c r="F32" s="6">
        <f t="array" ref="F32">_xlfn.IFS(G32="EM15",EOMONTH(E32,0)+15, G32="EM30",EOMONTH(E32,0)+30, G32="EM45",EOMONTH(E32,0)+45, G32="EM60",EOMONTH(E32,0)+60, G32="OA15",E32+15, G32="OA30",E32+30, G32="OA60",E32+60 )</f>
        <v>46233</v>
      </c>
      <c r="G32" s="2" t="s">
        <v>27</v>
      </c>
      <c r="H32" s="3">
        <v>314500</v>
      </c>
      <c r="I32" s="4">
        <f>INDEX(Customer_list!$G$2:$G$21,MATCH(B32,Customer_list!$B$2:$B$21,0))</f>
        <v>0.97</v>
      </c>
      <c r="J32" s="5" t="s">
        <v>37</v>
      </c>
      <c r="K32" s="6"/>
      <c r="L32" s="6">
        <f>IF(J32="Collected",K32,IF(J32="Open",F32,F32+INDEX(Customer_list!$H$2:$H$21,MATCH(B32,Customer_list!$B$2:$B$21,0))*Weekly_Cash_Flow_Summary!$B$8))</f>
        <v>46233</v>
      </c>
      <c r="M32" s="7">
        <f>MIN(1,MAX(0,I32+Weekly_Cash_Flow_Summary!$B$7))</f>
        <v>0.97</v>
      </c>
    </row>
    <row r="33" spans="1:13" ht="15" customHeight="1" x14ac:dyDescent="0.2">
      <c r="A33" s="2" t="s">
        <v>103</v>
      </c>
      <c r="B33" s="2" t="s">
        <v>67</v>
      </c>
      <c r="C33" s="2" t="s">
        <v>68</v>
      </c>
      <c r="D33" s="2" t="s">
        <v>41</v>
      </c>
      <c r="E33" s="6">
        <v>46187</v>
      </c>
      <c r="F33" s="6">
        <f t="array" ref="F33">_xlfn.IFS(G33="EM15",EOMONTH(E33,0)+15, G33="EM30",EOMONTH(E33,0)+30, G33="EM45",EOMONTH(E33,0)+45, G33="EM60",EOMONTH(E33,0)+60, G33="OA15",E33+15, G33="OA30",E33+30, G33="OA60",E33+60 )</f>
        <v>46218</v>
      </c>
      <c r="G33" s="2" t="s">
        <v>69</v>
      </c>
      <c r="H33" s="3">
        <v>302500</v>
      </c>
      <c r="I33" s="4">
        <f>INDEX(Customer_list!$G$2:$G$21,MATCH(B33,Customer_list!$B$2:$B$21,0))</f>
        <v>0.9</v>
      </c>
      <c r="J33" s="5" t="s">
        <v>28</v>
      </c>
      <c r="K33" s="6">
        <v>46228</v>
      </c>
      <c r="L33" s="6">
        <f>IF(J33="Collected",K33,IF(J33="Open",F33,F33+INDEX(Customer_list!$H$2:$H$21,MATCH(B33,Customer_list!$B$2:$B$21,0))*Weekly_Cash_Flow_Summary!$B$8))</f>
        <v>46228</v>
      </c>
      <c r="M33" s="7">
        <f>MIN(1,MAX(0,I33+Weekly_Cash_Flow_Summary!$B$7))</f>
        <v>0.9</v>
      </c>
    </row>
    <row r="34" spans="1:13" ht="15" customHeight="1" x14ac:dyDescent="0.2">
      <c r="A34" s="2" t="s">
        <v>104</v>
      </c>
      <c r="B34" s="2" t="s">
        <v>76</v>
      </c>
      <c r="C34" s="2" t="s">
        <v>77</v>
      </c>
      <c r="D34" s="2" t="s">
        <v>26</v>
      </c>
      <c r="E34" s="6">
        <v>46120</v>
      </c>
      <c r="F34" s="6">
        <f t="array" ref="F34">_xlfn.IFS(G34="EM15",EOMONTH(E34,0)+15, G34="EM30",EOMONTH(E34,0)+30, G34="EM45",EOMONTH(E34,0)+45, G34="EM60",EOMONTH(E34,0)+60, G34="OA15",E34+15, G34="OA30",E34+30, G34="OA60",E34+60 )</f>
        <v>46150</v>
      </c>
      <c r="G34" s="2" t="s">
        <v>35</v>
      </c>
      <c r="H34" s="3">
        <v>326000</v>
      </c>
      <c r="I34" s="4">
        <f>INDEX(Customer_list!$G$2:$G$21,MATCH(B34,Customer_list!$B$2:$B$21,0))</f>
        <v>0.97</v>
      </c>
      <c r="J34" s="5" t="s">
        <v>28</v>
      </c>
      <c r="K34" s="6">
        <v>46157</v>
      </c>
      <c r="L34" s="6">
        <f>IF(J34="Collected",K34,IF(J34="Open",F34,F34+INDEX(Customer_list!$H$2:$H$21,MATCH(B34,Customer_list!$B$2:$B$21,0))*Weekly_Cash_Flow_Summary!$B$8))</f>
        <v>46157</v>
      </c>
      <c r="M34" s="7">
        <f>MIN(1,MAX(0,I34+Weekly_Cash_Flow_Summary!$B$7))</f>
        <v>0.97</v>
      </c>
    </row>
    <row r="35" spans="1:13" ht="15" customHeight="1" x14ac:dyDescent="0.2">
      <c r="A35" s="2" t="s">
        <v>105</v>
      </c>
      <c r="B35" s="2" t="s">
        <v>94</v>
      </c>
      <c r="C35" s="2" t="s">
        <v>95</v>
      </c>
      <c r="D35" s="2" t="s">
        <v>41</v>
      </c>
      <c r="E35" s="6">
        <v>46186</v>
      </c>
      <c r="F35" s="6">
        <f t="array" ref="F35">_xlfn.IFS(G35="EM15",EOMONTH(E35,0)+15, G35="EM30",EOMONTH(E35,0)+30, G35="EM45",EOMONTH(E35,0)+45, G35="EM60",EOMONTH(E35,0)+60, G35="OA15",E35+15, G35="OA30",E35+30, G35="OA60",E35+60 )</f>
        <v>46263</v>
      </c>
      <c r="G35" s="2" t="s">
        <v>55</v>
      </c>
      <c r="H35" s="3">
        <v>92500</v>
      </c>
      <c r="I35" s="4">
        <f>INDEX(Customer_list!$G$2:$G$21,MATCH(B35,Customer_list!$B$2:$B$21,0))</f>
        <v>0.9</v>
      </c>
      <c r="J35" s="5" t="s">
        <v>37</v>
      </c>
      <c r="K35" s="6"/>
      <c r="L35" s="6">
        <f>IF(J35="Collected",K35,IF(J35="Open",F35,F35+INDEX(Customer_list!$H$2:$H$21,MATCH(B35,Customer_list!$B$2:$B$21,0))*Weekly_Cash_Flow_Summary!$B$8))</f>
        <v>46263</v>
      </c>
      <c r="M35" s="7">
        <f>MIN(1,MAX(0,I35+Weekly_Cash_Flow_Summary!$B$7))</f>
        <v>0.9</v>
      </c>
    </row>
    <row r="36" spans="1:13" ht="15" customHeight="1" x14ac:dyDescent="0.2">
      <c r="A36" s="2" t="s">
        <v>106</v>
      </c>
      <c r="B36" s="2" t="s">
        <v>30</v>
      </c>
      <c r="C36" s="2" t="s">
        <v>31</v>
      </c>
      <c r="D36" s="2" t="s">
        <v>26</v>
      </c>
      <c r="E36" s="6">
        <v>46187</v>
      </c>
      <c r="F36" s="6">
        <f t="array" ref="F36">_xlfn.IFS(G36="EM15",EOMONTH(E36,0)+15, G36="EM30",EOMONTH(E36,0)+30, G36="EM45",EOMONTH(E36,0)+45, G36="EM60",EOMONTH(E36,0)+60, G36="OA15",E36+15, G36="OA30",E36+30, G36="OA60",E36+60 )</f>
        <v>46233</v>
      </c>
      <c r="G36" s="2" t="s">
        <v>27</v>
      </c>
      <c r="H36" s="3">
        <v>44500</v>
      </c>
      <c r="I36" s="4">
        <f>INDEX(Customer_list!$G$2:$G$21,MATCH(B36,Customer_list!$B$2:$B$21,0))</f>
        <v>0.9</v>
      </c>
      <c r="J36" s="5" t="s">
        <v>37</v>
      </c>
      <c r="K36" s="6"/>
      <c r="L36" s="6">
        <f>IF(J36="Collected",K36,IF(J36="Open",F36,F36+INDEX(Customer_list!$H$2:$H$21,MATCH(B36,Customer_list!$B$2:$B$21,0))*Weekly_Cash_Flow_Summary!$B$8))</f>
        <v>46233</v>
      </c>
      <c r="M36" s="7">
        <f>MIN(1,MAX(0,I36+Weekly_Cash_Flow_Summary!$B$7))</f>
        <v>0.9</v>
      </c>
    </row>
    <row r="37" spans="1:13" ht="15" customHeight="1" x14ac:dyDescent="0.2">
      <c r="A37" s="2" t="s">
        <v>107</v>
      </c>
      <c r="B37" s="2" t="s">
        <v>44</v>
      </c>
      <c r="C37" s="2" t="s">
        <v>45</v>
      </c>
      <c r="D37" s="2" t="s">
        <v>46</v>
      </c>
      <c r="E37" s="6">
        <v>46163</v>
      </c>
      <c r="F37" s="6">
        <f t="array" ref="F37">_xlfn.IFS(G37="EM15",EOMONTH(E37,0)+15, G37="EM30",EOMONTH(E37,0)+30, G37="EM45",EOMONTH(E37,0)+45, G37="EM60",EOMONTH(E37,0)+60, G37="OA15",E37+15, G37="OA30",E37+30, G37="OA60",E37+60 )</f>
        <v>46193</v>
      </c>
      <c r="G37" s="2" t="s">
        <v>35</v>
      </c>
      <c r="H37" s="3">
        <v>349000</v>
      </c>
      <c r="I37" s="4">
        <f>INDEX(Customer_list!$G$2:$G$21,MATCH(B37,Customer_list!$B$2:$B$21,0))</f>
        <v>0.75</v>
      </c>
      <c r="J37" s="5" t="s">
        <v>28</v>
      </c>
      <c r="K37" s="6">
        <v>46213</v>
      </c>
      <c r="L37" s="6">
        <f>IF(J37="Collected",K37,IF(J37="Open",F37,F37+INDEX(Customer_list!$H$2:$H$21,MATCH(B37,Customer_list!$B$2:$B$21,0))*Weekly_Cash_Flow_Summary!$B$8))</f>
        <v>46213</v>
      </c>
      <c r="M37" s="7">
        <f>MIN(1,MAX(0,I37+Weekly_Cash_Flow_Summary!$B$7))</f>
        <v>0.75</v>
      </c>
    </row>
    <row r="38" spans="1:13" ht="15" customHeight="1" x14ac:dyDescent="0.2">
      <c r="A38" s="2" t="s">
        <v>108</v>
      </c>
      <c r="B38" s="2" t="s">
        <v>67</v>
      </c>
      <c r="C38" s="2" t="s">
        <v>68</v>
      </c>
      <c r="D38" s="2" t="s">
        <v>41</v>
      </c>
      <c r="E38" s="6">
        <v>46119</v>
      </c>
      <c r="F38" s="6">
        <f t="array" ref="F38">_xlfn.IFS(G38="EM15",EOMONTH(E38,0)+15, G38="EM30",EOMONTH(E38,0)+30, G38="EM45",EOMONTH(E38,0)+45, G38="EM60",EOMONTH(E38,0)+60, G38="OA15",E38+15, G38="OA30",E38+30, G38="OA60",E38+60 )</f>
        <v>46157</v>
      </c>
      <c r="G38" s="2" t="s">
        <v>69</v>
      </c>
      <c r="H38" s="3">
        <v>332500</v>
      </c>
      <c r="I38" s="4">
        <f>INDEX(Customer_list!$G$2:$G$21,MATCH(B38,Customer_list!$B$2:$B$21,0))</f>
        <v>0.9</v>
      </c>
      <c r="J38" s="5" t="s">
        <v>28</v>
      </c>
      <c r="K38" s="6">
        <v>46167</v>
      </c>
      <c r="L38" s="6">
        <f>IF(J38="Collected",K38,IF(J38="Open",F38,F38+INDEX(Customer_list!$H$2:$H$21,MATCH(B38,Customer_list!$B$2:$B$21,0))*Weekly_Cash_Flow_Summary!$B$8))</f>
        <v>46167</v>
      </c>
      <c r="M38" s="7">
        <f>MIN(1,MAX(0,I38+Weekly_Cash_Flow_Summary!$B$7))</f>
        <v>0.9</v>
      </c>
    </row>
    <row r="39" spans="1:13" ht="15" customHeight="1" x14ac:dyDescent="0.2">
      <c r="A39" s="2" t="s">
        <v>109</v>
      </c>
      <c r="B39" s="2" t="s">
        <v>33</v>
      </c>
      <c r="C39" s="2" t="s">
        <v>34</v>
      </c>
      <c r="D39" s="2" t="s">
        <v>26</v>
      </c>
      <c r="E39" s="6">
        <v>46141</v>
      </c>
      <c r="F39" s="6">
        <f t="array" ref="F39">_xlfn.IFS(G39="EM15",EOMONTH(E39,0)+15, G39="EM30",EOMONTH(E39,0)+30, G39="EM45",EOMONTH(E39,0)+45, G39="EM60",EOMONTH(E39,0)+60, G39="OA15",E39+15, G39="OA30",E39+30, G39="OA60",E39+60 )</f>
        <v>46171</v>
      </c>
      <c r="G39" s="2" t="s">
        <v>35</v>
      </c>
      <c r="H39" s="3">
        <v>332500</v>
      </c>
      <c r="I39" s="4">
        <f>INDEX(Customer_list!$G$2:$G$21,MATCH(B39,Customer_list!$B$2:$B$21,0))</f>
        <v>0.97</v>
      </c>
      <c r="J39" s="5" t="s">
        <v>28</v>
      </c>
      <c r="K39" s="6">
        <v>46178</v>
      </c>
      <c r="L39" s="6">
        <f>IF(J39="Collected",K39,IF(J39="Open",F39,F39+INDEX(Customer_list!$H$2:$H$21,MATCH(B39,Customer_list!$B$2:$B$21,0))*Weekly_Cash_Flow_Summary!$B$8))</f>
        <v>46178</v>
      </c>
      <c r="M39" s="7">
        <f>MIN(1,MAX(0,I39+Weekly_Cash_Flow_Summary!$B$7))</f>
        <v>0.97</v>
      </c>
    </row>
    <row r="40" spans="1:13" ht="15" customHeight="1" x14ac:dyDescent="0.2">
      <c r="A40" s="2" t="s">
        <v>110</v>
      </c>
      <c r="B40" s="2" t="s">
        <v>91</v>
      </c>
      <c r="C40" s="2" t="s">
        <v>92</v>
      </c>
      <c r="D40" s="2" t="s">
        <v>26</v>
      </c>
      <c r="E40" s="6">
        <v>46118</v>
      </c>
      <c r="F40" s="6">
        <f t="array" ref="F40">_xlfn.IFS(G40="EM15",EOMONTH(E40,0)+15, G40="EM30",EOMONTH(E40,0)+30, G40="EM45",EOMONTH(E40,0)+45, G40="EM60",EOMONTH(E40,0)+60, G40="OA15",E40+15, G40="OA30",E40+30, G40="OA60",E40+60 )</f>
        <v>46187</v>
      </c>
      <c r="G40" s="2" t="s">
        <v>85</v>
      </c>
      <c r="H40" s="3">
        <v>297500</v>
      </c>
      <c r="I40" s="4">
        <f>INDEX(Customer_list!$G$2:$G$21,MATCH(B40,Customer_list!$B$2:$B$21,0))</f>
        <v>0.97</v>
      </c>
      <c r="J40" s="5" t="s">
        <v>28</v>
      </c>
      <c r="K40" s="6">
        <v>46188</v>
      </c>
      <c r="L40" s="6">
        <f>IF(J40="Collected",K40,IF(J40="Open",F40,F40+INDEX(Customer_list!$H$2:$H$21,MATCH(B40,Customer_list!$B$2:$B$21,0))*Weekly_Cash_Flow_Summary!$B$8))</f>
        <v>46188</v>
      </c>
      <c r="M40" s="7">
        <f>MIN(1,MAX(0,I40+Weekly_Cash_Flow_Summary!$B$7))</f>
        <v>0.97</v>
      </c>
    </row>
    <row r="41" spans="1:13" ht="15" customHeight="1" x14ac:dyDescent="0.2">
      <c r="A41" s="2" t="s">
        <v>111</v>
      </c>
      <c r="B41" s="2" t="s">
        <v>67</v>
      </c>
      <c r="C41" s="2" t="s">
        <v>68</v>
      </c>
      <c r="D41" s="2" t="s">
        <v>41</v>
      </c>
      <c r="E41" s="6">
        <v>46184</v>
      </c>
      <c r="F41" s="6">
        <f t="array" ref="F41">_xlfn.IFS(G41="EM15",EOMONTH(E41,0)+15, G41="EM30",EOMONTH(E41,0)+30, G41="EM45",EOMONTH(E41,0)+45, G41="EM60",EOMONTH(E41,0)+60, G41="OA15",E41+15, G41="OA30",E41+30, G41="OA60",E41+60 )</f>
        <v>46218</v>
      </c>
      <c r="G41" s="2" t="s">
        <v>69</v>
      </c>
      <c r="H41" s="3">
        <v>26000</v>
      </c>
      <c r="I41" s="4">
        <f>INDEX(Customer_list!$G$2:$G$21,MATCH(B41,Customer_list!$B$2:$B$21,0))</f>
        <v>0.9</v>
      </c>
      <c r="J41" s="5" t="s">
        <v>47</v>
      </c>
      <c r="K41" s="6"/>
      <c r="L41" s="6">
        <f>IF(J41="Collected",K41,IF(J41="Open",F41,F41+INDEX(Customer_list!$H$2:$H$21,MATCH(B41,Customer_list!$B$2:$B$21,0))*Weekly_Cash_Flow_Summary!$B$8))</f>
        <v>46228</v>
      </c>
      <c r="M41" s="7">
        <f>MIN(1,MAX(0,I41+Weekly_Cash_Flow_Summary!$B$7))</f>
        <v>0.9</v>
      </c>
    </row>
    <row r="42" spans="1:13" ht="15" customHeight="1" x14ac:dyDescent="0.2">
      <c r="A42" s="2" t="s">
        <v>112</v>
      </c>
      <c r="B42" s="2" t="s">
        <v>63</v>
      </c>
      <c r="C42" s="2" t="s">
        <v>64</v>
      </c>
      <c r="D42" s="2" t="s">
        <v>41</v>
      </c>
      <c r="E42" s="6">
        <v>46222</v>
      </c>
      <c r="F42" s="6">
        <f t="array" ref="F42">_xlfn.IFS(G42="EM15",EOMONTH(E42,0)+15, G42="EM30",EOMONTH(E42,0)+30, G42="EM45",EOMONTH(E42,0)+45, G42="EM60",EOMONTH(E42,0)+60, G42="OA15",E42+15, G42="OA30",E42+30, G42="OA60",E42+60 )</f>
        <v>46282</v>
      </c>
      <c r="G42" s="2" t="s">
        <v>65</v>
      </c>
      <c r="H42" s="3">
        <v>301500</v>
      </c>
      <c r="I42" s="4">
        <f>INDEX(Customer_list!$G$2:$G$21,MATCH(B42,Customer_list!$B$2:$B$21,0))</f>
        <v>0.9</v>
      </c>
      <c r="J42" s="5" t="s">
        <v>37</v>
      </c>
      <c r="K42" s="6"/>
      <c r="L42" s="6">
        <f>IF(J42="Collected",K42,IF(J42="Open",F42,F42+INDEX(Customer_list!$H$2:$H$21,MATCH(B42,Customer_list!$B$2:$B$21,0))*Weekly_Cash_Flow_Summary!$B$8))</f>
        <v>46282</v>
      </c>
      <c r="M42" s="7">
        <f>MIN(1,MAX(0,I42+Weekly_Cash_Flow_Summary!$B$7))</f>
        <v>0.9</v>
      </c>
    </row>
    <row r="43" spans="1:13" ht="15" customHeight="1" x14ac:dyDescent="0.2">
      <c r="A43" s="2" t="s">
        <v>113</v>
      </c>
      <c r="B43" s="2" t="s">
        <v>49</v>
      </c>
      <c r="C43" s="2" t="s">
        <v>50</v>
      </c>
      <c r="D43" s="2" t="s">
        <v>41</v>
      </c>
      <c r="E43" s="6">
        <v>46130</v>
      </c>
      <c r="F43" s="6">
        <f t="array" ref="F43">_xlfn.IFS(G43="EM15",EOMONTH(E43,0)+15, G43="EM30",EOMONTH(E43,0)+30, G43="EM45",EOMONTH(E43,0)+45, G43="EM60",EOMONTH(E43,0)+60, G43="OA15",E43+15, G43="OA30",E43+30, G43="OA60",E43+60 )</f>
        <v>46160</v>
      </c>
      <c r="G43" s="2" t="s">
        <v>35</v>
      </c>
      <c r="H43" s="3">
        <v>78500</v>
      </c>
      <c r="I43" s="4">
        <f>INDEX(Customer_list!$G$2:$G$21,MATCH(B43,Customer_list!$B$2:$B$21,0))</f>
        <v>0.75</v>
      </c>
      <c r="J43" s="5" t="s">
        <v>28</v>
      </c>
      <c r="K43" s="6">
        <v>46183</v>
      </c>
      <c r="L43" s="6">
        <f>IF(J43="Collected",K43,IF(J43="Open",F43,F43+INDEX(Customer_list!$H$2:$H$21,MATCH(B43,Customer_list!$B$2:$B$21,0))*Weekly_Cash_Flow_Summary!$B$8))</f>
        <v>46183</v>
      </c>
      <c r="M43" s="7">
        <f>MIN(1,MAX(0,I43+Weekly_Cash_Flow_Summary!$B$7))</f>
        <v>0.75</v>
      </c>
    </row>
    <row r="44" spans="1:13" ht="15" customHeight="1" x14ac:dyDescent="0.2">
      <c r="A44" s="2" t="s">
        <v>114</v>
      </c>
      <c r="B44" s="2" t="s">
        <v>76</v>
      </c>
      <c r="C44" s="2" t="s">
        <v>77</v>
      </c>
      <c r="D44" s="2" t="s">
        <v>26</v>
      </c>
      <c r="E44" s="6">
        <v>46150</v>
      </c>
      <c r="F44" s="6">
        <f t="array" ref="F44">_xlfn.IFS(G44="EM15",EOMONTH(E44,0)+15, G44="EM30",EOMONTH(E44,0)+30, G44="EM45",EOMONTH(E44,0)+45, G44="EM60",EOMONTH(E44,0)+60, G44="OA15",E44+15, G44="OA30",E44+30, G44="OA60",E44+60 )</f>
        <v>46180</v>
      </c>
      <c r="G44" s="2" t="s">
        <v>35</v>
      </c>
      <c r="H44" s="3">
        <v>258000</v>
      </c>
      <c r="I44" s="4">
        <f>INDEX(Customer_list!$G$2:$G$21,MATCH(B44,Customer_list!$B$2:$B$21,0))</f>
        <v>0.97</v>
      </c>
      <c r="J44" s="5" t="s">
        <v>28</v>
      </c>
      <c r="K44" s="6">
        <v>46188</v>
      </c>
      <c r="L44" s="6">
        <f>IF(J44="Collected",K44,IF(J44="Open",F44,F44+INDEX(Customer_list!$H$2:$H$21,MATCH(B44,Customer_list!$B$2:$B$21,0))*Weekly_Cash_Flow_Summary!$B$8))</f>
        <v>46188</v>
      </c>
      <c r="M44" s="7">
        <f>MIN(1,MAX(0,I44+Weekly_Cash_Flow_Summary!$B$7))</f>
        <v>0.97</v>
      </c>
    </row>
    <row r="45" spans="1:13" ht="15" customHeight="1" x14ac:dyDescent="0.2">
      <c r="A45" s="2" t="s">
        <v>115</v>
      </c>
      <c r="B45" s="2" t="s">
        <v>91</v>
      </c>
      <c r="C45" s="2" t="s">
        <v>92</v>
      </c>
      <c r="D45" s="2" t="s">
        <v>26</v>
      </c>
      <c r="E45" s="6">
        <v>46166</v>
      </c>
      <c r="F45" s="6">
        <f t="array" ref="F45">_xlfn.IFS(G45="EM15",EOMONTH(E45,0)+15, G45="EM30",EOMONTH(E45,0)+30, G45="EM45",EOMONTH(E45,0)+45, G45="EM60",EOMONTH(E45,0)+60, G45="OA15",E45+15, G45="OA30",E45+30, G45="OA60",E45+60 )</f>
        <v>46218</v>
      </c>
      <c r="G45" s="2" t="s">
        <v>85</v>
      </c>
      <c r="H45" s="3">
        <v>282500</v>
      </c>
      <c r="I45" s="4">
        <f>INDEX(Customer_list!$G$2:$G$21,MATCH(B45,Customer_list!$B$2:$B$21,0))</f>
        <v>0.97</v>
      </c>
      <c r="J45" s="5" t="s">
        <v>28</v>
      </c>
      <c r="K45" s="6">
        <v>46218</v>
      </c>
      <c r="L45" s="6">
        <f>IF(J45="Collected",K45,IF(J45="Open",F45,F45+INDEX(Customer_list!$H$2:$H$21,MATCH(B45,Customer_list!$B$2:$B$21,0))*Weekly_Cash_Flow_Summary!$B$8))</f>
        <v>46218</v>
      </c>
      <c r="M45" s="7">
        <f>MIN(1,MAX(0,I45+Weekly_Cash_Flow_Summary!$B$7))</f>
        <v>0.97</v>
      </c>
    </row>
    <row r="46" spans="1:13" ht="15" customHeight="1" x14ac:dyDescent="0.2">
      <c r="A46" s="2" t="s">
        <v>116</v>
      </c>
      <c r="B46" s="2" t="s">
        <v>53</v>
      </c>
      <c r="C46" s="2" t="s">
        <v>54</v>
      </c>
      <c r="D46" s="2" t="s">
        <v>46</v>
      </c>
      <c r="E46" s="6">
        <v>46131</v>
      </c>
      <c r="F46" s="6">
        <f t="array" ref="F46">_xlfn.IFS(G46="EM15",EOMONTH(E46,0)+15, G46="EM30",EOMONTH(E46,0)+30, G46="EM45",EOMONTH(E46,0)+45, G46="EM60",EOMONTH(E46,0)+60, G46="OA15",E46+15, G46="OA30",E46+30, G46="OA60",E46+60 )</f>
        <v>46202</v>
      </c>
      <c r="G46" s="2" t="s">
        <v>55</v>
      </c>
      <c r="H46" s="3">
        <v>76000</v>
      </c>
      <c r="I46" s="4">
        <f>INDEX(Customer_list!$G$2:$G$21,MATCH(B46,Customer_list!$B$2:$B$21,0))</f>
        <v>0.97</v>
      </c>
      <c r="J46" s="5" t="s">
        <v>28</v>
      </c>
      <c r="K46" s="6">
        <v>46208</v>
      </c>
      <c r="L46" s="6">
        <f>IF(J46="Collected",K46,IF(J46="Open",F46,F46+INDEX(Customer_list!$H$2:$H$21,MATCH(B46,Customer_list!$B$2:$B$21,0))*Weekly_Cash_Flow_Summary!$B$8))</f>
        <v>46208</v>
      </c>
      <c r="M46" s="7">
        <f>MIN(1,MAX(0,I46+Weekly_Cash_Flow_Summary!$B$7))</f>
        <v>0.97</v>
      </c>
    </row>
    <row r="47" spans="1:13" ht="15" customHeight="1" x14ac:dyDescent="0.2">
      <c r="A47" s="2" t="s">
        <v>117</v>
      </c>
      <c r="B47" s="2" t="s">
        <v>53</v>
      </c>
      <c r="C47" s="2" t="s">
        <v>54</v>
      </c>
      <c r="D47" s="2" t="s">
        <v>46</v>
      </c>
      <c r="E47" s="6">
        <v>46182</v>
      </c>
      <c r="F47" s="6">
        <f t="array" ref="F47">_xlfn.IFS(G47="EM15",EOMONTH(E47,0)+15, G47="EM30",EOMONTH(E47,0)+30, G47="EM45",EOMONTH(E47,0)+45, G47="EM60",EOMONTH(E47,0)+60, G47="OA15",E47+15, G47="OA30",E47+30, G47="OA60",E47+60 )</f>
        <v>46263</v>
      </c>
      <c r="G47" s="2" t="s">
        <v>55</v>
      </c>
      <c r="H47" s="3">
        <v>348000</v>
      </c>
      <c r="I47" s="4">
        <f>INDEX(Customer_list!$G$2:$G$21,MATCH(B47,Customer_list!$B$2:$B$21,0))</f>
        <v>0.97</v>
      </c>
      <c r="J47" s="5" t="s">
        <v>37</v>
      </c>
      <c r="K47" s="6"/>
      <c r="L47" s="6">
        <f>IF(J47="Collected",K47,IF(J47="Open",F47,F47+INDEX(Customer_list!$H$2:$H$21,MATCH(B47,Customer_list!$B$2:$B$21,0))*Weekly_Cash_Flow_Summary!$B$8))</f>
        <v>46263</v>
      </c>
      <c r="M47" s="7">
        <f>MIN(1,MAX(0,I47+Weekly_Cash_Flow_Summary!$B$7))</f>
        <v>0.97</v>
      </c>
    </row>
    <row r="48" spans="1:13" ht="15" customHeight="1" x14ac:dyDescent="0.2">
      <c r="A48" s="2" t="s">
        <v>118</v>
      </c>
      <c r="B48" s="2" t="s">
        <v>100</v>
      </c>
      <c r="C48" s="2" t="s">
        <v>101</v>
      </c>
      <c r="D48" s="2" t="s">
        <v>46</v>
      </c>
      <c r="E48" s="6">
        <v>46128</v>
      </c>
      <c r="F48" s="6">
        <f t="array" ref="F48">_xlfn.IFS(G48="EM15",EOMONTH(E48,0)+15, G48="EM30",EOMONTH(E48,0)+30, G48="EM45",EOMONTH(E48,0)+45, G48="EM60",EOMONTH(E48,0)+60, G48="OA15",E48+15, G48="OA30",E48+30, G48="OA60",E48+60 )</f>
        <v>46157</v>
      </c>
      <c r="G48" s="2" t="s">
        <v>69</v>
      </c>
      <c r="H48" s="3">
        <v>176500</v>
      </c>
      <c r="I48" s="4">
        <f>INDEX(Customer_list!$G$2:$G$21,MATCH(B48,Customer_list!$B$2:$B$21,0))</f>
        <v>0.97</v>
      </c>
      <c r="J48" s="5" t="s">
        <v>47</v>
      </c>
      <c r="K48" s="6"/>
      <c r="L48" s="6">
        <f>IF(J48="Collected",K48,IF(J48="Open",F48,F48+INDEX(Customer_list!$H$2:$H$21,MATCH(B48,Customer_list!$B$2:$B$21,0))*Weekly_Cash_Flow_Summary!$B$8))</f>
        <v>46160</v>
      </c>
      <c r="M48" s="7">
        <f>MIN(1,MAX(0,I48+Weekly_Cash_Flow_Summary!$B$7))</f>
        <v>0.97</v>
      </c>
    </row>
    <row r="49" spans="1:13" ht="15" customHeight="1" x14ac:dyDescent="0.2">
      <c r="A49" s="2" t="s">
        <v>119</v>
      </c>
      <c r="B49" s="2" t="s">
        <v>33</v>
      </c>
      <c r="C49" s="2" t="s">
        <v>34</v>
      </c>
      <c r="D49" s="2" t="s">
        <v>26</v>
      </c>
      <c r="E49" s="6">
        <v>46186</v>
      </c>
      <c r="F49" s="6">
        <f t="array" ref="F49">_xlfn.IFS(G49="EM15",EOMONTH(E49,0)+15, G49="EM30",EOMONTH(E49,0)+30, G49="EM45",EOMONTH(E49,0)+45, G49="EM60",EOMONTH(E49,0)+60, G49="OA15",E49+15, G49="OA30",E49+30, G49="OA60",E49+60 )</f>
        <v>46216</v>
      </c>
      <c r="G49" s="2" t="s">
        <v>35</v>
      </c>
      <c r="H49" s="3">
        <v>339500</v>
      </c>
      <c r="I49" s="4">
        <f>INDEX(Customer_list!$G$2:$G$21,MATCH(B49,Customer_list!$B$2:$B$21,0))</f>
        <v>0.97</v>
      </c>
      <c r="J49" s="5" t="s">
        <v>28</v>
      </c>
      <c r="K49" s="6">
        <v>46223</v>
      </c>
      <c r="L49" s="6">
        <f>IF(J49="Collected",K49,IF(J49="Open",F49,F49+INDEX(Customer_list!$H$2:$H$21,MATCH(B49,Customer_list!$B$2:$B$21,0))*Weekly_Cash_Flow_Summary!$B$8))</f>
        <v>46223</v>
      </c>
      <c r="M49" s="7">
        <f>MIN(1,MAX(0,I49+Weekly_Cash_Flow_Summary!$B$7))</f>
        <v>0.97</v>
      </c>
    </row>
    <row r="50" spans="1:13" ht="15" customHeight="1" x14ac:dyDescent="0.2">
      <c r="A50" s="2" t="s">
        <v>120</v>
      </c>
      <c r="B50" s="2" t="s">
        <v>44</v>
      </c>
      <c r="C50" s="2" t="s">
        <v>45</v>
      </c>
      <c r="D50" s="2" t="s">
        <v>46</v>
      </c>
      <c r="E50" s="6">
        <v>46152</v>
      </c>
      <c r="F50" s="6">
        <f t="array" ref="F50">_xlfn.IFS(G50="EM15",EOMONTH(E50,0)+15, G50="EM30",EOMONTH(E50,0)+30, G50="EM45",EOMONTH(E50,0)+45, G50="EM60",EOMONTH(E50,0)+60, G50="OA15",E50+15, G50="OA30",E50+30, G50="OA60",E50+60 )</f>
        <v>46182</v>
      </c>
      <c r="G50" s="2" t="s">
        <v>35</v>
      </c>
      <c r="H50" s="3">
        <v>104500</v>
      </c>
      <c r="I50" s="4">
        <f>INDEX(Customer_list!$G$2:$G$21,MATCH(B50,Customer_list!$B$2:$B$21,0))</f>
        <v>0.75</v>
      </c>
      <c r="J50" s="5" t="s">
        <v>47</v>
      </c>
      <c r="K50" s="6"/>
      <c r="L50" s="6">
        <f>IF(J50="Collected",K50,IF(J50="Open",F50,F50+INDEX(Customer_list!$H$2:$H$21,MATCH(B50,Customer_list!$B$2:$B$21,0))*Weekly_Cash_Flow_Summary!$B$8))</f>
        <v>46207</v>
      </c>
      <c r="M50" s="7">
        <f>MIN(1,MAX(0,I50+Weekly_Cash_Flow_Summary!$B$7))</f>
        <v>0.75</v>
      </c>
    </row>
    <row r="51" spans="1:13" ht="15" customHeight="1" x14ac:dyDescent="0.2">
      <c r="A51" s="2" t="s">
        <v>121</v>
      </c>
      <c r="B51" s="2" t="s">
        <v>91</v>
      </c>
      <c r="C51" s="2" t="s">
        <v>92</v>
      </c>
      <c r="D51" s="2" t="s">
        <v>26</v>
      </c>
      <c r="E51" s="6">
        <v>46184</v>
      </c>
      <c r="F51" s="6">
        <f t="array" ref="F51">_xlfn.IFS(G51="EM15",EOMONTH(E51,0)+15, G51="EM30",EOMONTH(E51,0)+30, G51="EM45",EOMONTH(E51,0)+45, G51="EM60",EOMONTH(E51,0)+60, G51="OA15",E51+15, G51="OA30",E51+30, G51="OA60",E51+60 )</f>
        <v>46248</v>
      </c>
      <c r="G51" s="2" t="s">
        <v>85</v>
      </c>
      <c r="H51" s="3">
        <v>20500</v>
      </c>
      <c r="I51" s="4">
        <f>INDEX(Customer_list!$G$2:$G$21,MATCH(B51,Customer_list!$B$2:$B$21,0))</f>
        <v>0.97</v>
      </c>
      <c r="J51" s="5" t="s">
        <v>37</v>
      </c>
      <c r="K51" s="6"/>
      <c r="L51" s="6">
        <f>IF(J51="Collected",K51,IF(J51="Open",F51,F51+INDEX(Customer_list!$H$2:$H$21,MATCH(B51,Customer_list!$B$2:$B$21,0))*Weekly_Cash_Flow_Summary!$B$8))</f>
        <v>46248</v>
      </c>
      <c r="M51" s="7">
        <f>MIN(1,MAX(0,I51+Weekly_Cash_Flow_Summary!$B$7))</f>
        <v>0.97</v>
      </c>
    </row>
    <row r="52" spans="1:13" ht="15" customHeight="1" x14ac:dyDescent="0.2">
      <c r="A52" s="2" t="s">
        <v>122</v>
      </c>
      <c r="B52" s="2" t="s">
        <v>39</v>
      </c>
      <c r="C52" s="2" t="s">
        <v>40</v>
      </c>
      <c r="D52" s="2" t="s">
        <v>41</v>
      </c>
      <c r="E52" s="6">
        <v>46217</v>
      </c>
      <c r="F52" s="6">
        <f t="array" ref="F52">_xlfn.IFS(G52="EM15",EOMONTH(E52,0)+15, G52="EM30",EOMONTH(E52,0)+30, G52="EM45",EOMONTH(E52,0)+45, G52="EM60",EOMONTH(E52,0)+60, G52="OA15",E52+15, G52="OA30",E52+30, G52="OA60",E52+60 )</f>
        <v>46232</v>
      </c>
      <c r="G52" s="2" t="s">
        <v>42</v>
      </c>
      <c r="H52" s="3">
        <v>30000</v>
      </c>
      <c r="I52" s="4">
        <f>INDEX(Customer_list!$G$2:$G$21,MATCH(B52,Customer_list!$B$2:$B$21,0))</f>
        <v>0.75</v>
      </c>
      <c r="J52" s="5" t="s">
        <v>47</v>
      </c>
      <c r="K52" s="6"/>
      <c r="L52" s="6">
        <f>IF(J52="Collected",K52,IF(J52="Open",F52,F52+INDEX(Customer_list!$H$2:$H$21,MATCH(B52,Customer_list!$B$2:$B$21,0))*Weekly_Cash_Flow_Summary!$B$8))</f>
        <v>46257</v>
      </c>
      <c r="M52" s="7">
        <f>MIN(1,MAX(0,I52+Weekly_Cash_Flow_Summary!$B$7))</f>
        <v>0.75</v>
      </c>
    </row>
    <row r="53" spans="1:13" ht="15" customHeight="1" x14ac:dyDescent="0.2">
      <c r="A53" s="2" t="s">
        <v>123</v>
      </c>
      <c r="B53" s="2" t="s">
        <v>33</v>
      </c>
      <c r="C53" s="2" t="s">
        <v>34</v>
      </c>
      <c r="D53" s="2" t="s">
        <v>26</v>
      </c>
      <c r="E53" s="6">
        <v>46200</v>
      </c>
      <c r="F53" s="6">
        <f t="array" ref="F53">_xlfn.IFS(G53="EM15",EOMONTH(E53,0)+15, G53="EM30",EOMONTH(E53,0)+30, G53="EM45",EOMONTH(E53,0)+45, G53="EM60",EOMONTH(E53,0)+60, G53="OA15",E53+15, G53="OA30",E53+30, G53="OA60",E53+60 )</f>
        <v>46230</v>
      </c>
      <c r="G53" s="2" t="s">
        <v>35</v>
      </c>
      <c r="H53" s="3">
        <v>181000</v>
      </c>
      <c r="I53" s="4">
        <f>INDEX(Customer_list!$G$2:$G$21,MATCH(B53,Customer_list!$B$2:$B$21,0))</f>
        <v>0.97</v>
      </c>
      <c r="J53" s="5" t="s">
        <v>47</v>
      </c>
      <c r="K53" s="6"/>
      <c r="L53" s="6">
        <f>IF(J53="Collected",K53,IF(J53="Open",F53,F53+INDEX(Customer_list!$H$2:$H$21,MATCH(B53,Customer_list!$B$2:$B$21,0))*Weekly_Cash_Flow_Summary!$B$8))</f>
        <v>46233</v>
      </c>
      <c r="M53" s="7">
        <f>MIN(1,MAX(0,I53+Weekly_Cash_Flow_Summary!$B$7))</f>
        <v>0.97</v>
      </c>
    </row>
    <row r="54" spans="1:13" ht="15" customHeight="1" x14ac:dyDescent="0.2">
      <c r="A54" s="2" t="s">
        <v>124</v>
      </c>
      <c r="B54" s="2" t="s">
        <v>58</v>
      </c>
      <c r="C54" s="2" t="s">
        <v>59</v>
      </c>
      <c r="D54" s="2" t="s">
        <v>41</v>
      </c>
      <c r="E54" s="6">
        <v>46136</v>
      </c>
      <c r="F54" s="6">
        <f t="array" ref="F54">_xlfn.IFS(G54="EM15",EOMONTH(E54,0)+15, G54="EM30",EOMONTH(E54,0)+30, G54="EM45",EOMONTH(E54,0)+45, G54="EM60",EOMONTH(E54,0)+60, G54="OA15",E54+15, G54="OA30",E54+30, G54="OA60",E54+60 )</f>
        <v>46166</v>
      </c>
      <c r="G54" s="2" t="s">
        <v>35</v>
      </c>
      <c r="H54" s="3">
        <v>317500</v>
      </c>
      <c r="I54" s="4">
        <f>INDEX(Customer_list!$G$2:$G$21,MATCH(B54,Customer_list!$B$2:$B$21,0))</f>
        <v>0.9</v>
      </c>
      <c r="J54" s="5" t="s">
        <v>28</v>
      </c>
      <c r="K54" s="6">
        <v>46172</v>
      </c>
      <c r="L54" s="6">
        <f>IF(J54="Collected",K54,IF(J54="Open",F54,F54+INDEX(Customer_list!$H$2:$H$21,MATCH(B54,Customer_list!$B$2:$B$21,0))*Weekly_Cash_Flow_Summary!$B$8))</f>
        <v>46172</v>
      </c>
      <c r="M54" s="7">
        <f>MIN(1,MAX(0,I54+Weekly_Cash_Flow_Summary!$B$7))</f>
        <v>0.9</v>
      </c>
    </row>
    <row r="55" spans="1:13" ht="15" customHeight="1" x14ac:dyDescent="0.2">
      <c r="A55" s="2" t="s">
        <v>125</v>
      </c>
      <c r="B55" s="2" t="s">
        <v>79</v>
      </c>
      <c r="C55" s="2" t="s">
        <v>80</v>
      </c>
      <c r="D55" s="2" t="s">
        <v>41</v>
      </c>
      <c r="E55" s="6">
        <v>46126</v>
      </c>
      <c r="F55" s="6">
        <f t="array" ref="F55">_xlfn.IFS(G55="EM15",EOMONTH(E55,0)+15, G55="EM30",EOMONTH(E55,0)+30, G55="EM45",EOMONTH(E55,0)+45, G55="EM60",EOMONTH(E55,0)+60, G55="OA15",E55+15, G55="OA30",E55+30, G55="OA60",E55+60 )</f>
        <v>46156</v>
      </c>
      <c r="G55" s="2" t="s">
        <v>35</v>
      </c>
      <c r="H55" s="3">
        <v>65000</v>
      </c>
      <c r="I55" s="4">
        <f>INDEX(Customer_list!$G$2:$G$21,MATCH(B55,Customer_list!$B$2:$B$21,0))</f>
        <v>0.9</v>
      </c>
      <c r="J55" s="5" t="s">
        <v>28</v>
      </c>
      <c r="K55" s="6">
        <v>46167</v>
      </c>
      <c r="L55" s="6">
        <f>IF(J55="Collected",K55,IF(J55="Open",F55,F55+INDEX(Customer_list!$H$2:$H$21,MATCH(B55,Customer_list!$B$2:$B$21,0))*Weekly_Cash_Flow_Summary!$B$8))</f>
        <v>46167</v>
      </c>
      <c r="M55" s="7">
        <f>MIN(1,MAX(0,I55+Weekly_Cash_Flow_Summary!$B$7))</f>
        <v>0.9</v>
      </c>
    </row>
    <row r="56" spans="1:13" ht="15" customHeight="1" x14ac:dyDescent="0.2">
      <c r="A56" s="2" t="s">
        <v>126</v>
      </c>
      <c r="B56" s="2" t="s">
        <v>87</v>
      </c>
      <c r="C56" s="2" t="s">
        <v>88</v>
      </c>
      <c r="D56" s="2" t="s">
        <v>41</v>
      </c>
      <c r="E56" s="6">
        <v>46187</v>
      </c>
      <c r="F56" s="6">
        <f t="array" ref="F56">_xlfn.IFS(G56="EM15",EOMONTH(E56,0)+15, G56="EM30",EOMONTH(E56,0)+30, G56="EM45",EOMONTH(E56,0)+45, G56="EM60",EOMONTH(E56,0)+60, G56="OA15",E56+15, G56="OA30",E56+30, G56="OA60",E56+60 )</f>
        <v>46263</v>
      </c>
      <c r="G56" s="2" t="s">
        <v>55</v>
      </c>
      <c r="H56" s="3">
        <v>299500</v>
      </c>
      <c r="I56" s="4">
        <f>INDEX(Customer_list!$G$2:$G$21,MATCH(B56,Customer_list!$B$2:$B$21,0))</f>
        <v>0.9</v>
      </c>
      <c r="J56" s="5" t="s">
        <v>37</v>
      </c>
      <c r="K56" s="6"/>
      <c r="L56" s="6">
        <f>IF(J56="Collected",K56,IF(J56="Open",F56,F56+INDEX(Customer_list!$H$2:$H$21,MATCH(B56,Customer_list!$B$2:$B$21,0))*Weekly_Cash_Flow_Summary!$B$8))</f>
        <v>46263</v>
      </c>
      <c r="M56" s="7">
        <f>MIN(1,MAX(0,I56+Weekly_Cash_Flow_Summary!$B$7))</f>
        <v>0.9</v>
      </c>
    </row>
    <row r="57" spans="1:13" ht="15" customHeight="1" x14ac:dyDescent="0.2">
      <c r="A57" s="2" t="s">
        <v>127</v>
      </c>
      <c r="B57" s="2" t="s">
        <v>49</v>
      </c>
      <c r="C57" s="2" t="s">
        <v>50</v>
      </c>
      <c r="D57" s="2" t="s">
        <v>41</v>
      </c>
      <c r="E57" s="6">
        <v>46186</v>
      </c>
      <c r="F57" s="6">
        <f t="array" ref="F57">_xlfn.IFS(G57="EM15",EOMONTH(E57,0)+15, G57="EM30",EOMONTH(E57,0)+30, G57="EM45",EOMONTH(E57,0)+45, G57="EM60",EOMONTH(E57,0)+60, G57="OA15",E57+15, G57="OA30",E57+30, G57="OA60",E57+60 )</f>
        <v>46216</v>
      </c>
      <c r="G57" s="2" t="s">
        <v>35</v>
      </c>
      <c r="H57" s="3">
        <v>269000</v>
      </c>
      <c r="I57" s="4">
        <f>INDEX(Customer_list!$G$2:$G$21,MATCH(B57,Customer_list!$B$2:$B$21,0))</f>
        <v>0.75</v>
      </c>
      <c r="J57" s="5" t="s">
        <v>47</v>
      </c>
      <c r="K57" s="6"/>
      <c r="L57" s="6">
        <f>IF(J57="Collected",K57,IF(J57="Open",F57,F57+INDEX(Customer_list!$H$2:$H$21,MATCH(B57,Customer_list!$B$2:$B$21,0))*Weekly_Cash_Flow_Summary!$B$8))</f>
        <v>46241</v>
      </c>
      <c r="M57" s="7">
        <f>MIN(1,MAX(0,I57+Weekly_Cash_Flow_Summary!$B$7))</f>
        <v>0.75</v>
      </c>
    </row>
    <row r="58" spans="1:13" ht="15" customHeight="1" x14ac:dyDescent="0.2">
      <c r="A58" s="2" t="s">
        <v>128</v>
      </c>
      <c r="B58" s="2" t="s">
        <v>33</v>
      </c>
      <c r="C58" s="2" t="s">
        <v>34</v>
      </c>
      <c r="D58" s="2" t="s">
        <v>26</v>
      </c>
      <c r="E58" s="6">
        <v>46194</v>
      </c>
      <c r="F58" s="6">
        <f t="array" ref="F58">_xlfn.IFS(G58="EM15",EOMONTH(E58,0)+15, G58="EM30",EOMONTH(E58,0)+30, G58="EM45",EOMONTH(E58,0)+45, G58="EM60",EOMONTH(E58,0)+60, G58="OA15",E58+15, G58="OA30",E58+30, G58="OA60",E58+60 )</f>
        <v>46224</v>
      </c>
      <c r="G58" s="2" t="s">
        <v>35</v>
      </c>
      <c r="H58" s="3">
        <v>106500</v>
      </c>
      <c r="I58" s="4">
        <f>INDEX(Customer_list!$G$2:$G$21,MATCH(B58,Customer_list!$B$2:$B$21,0))</f>
        <v>0.97</v>
      </c>
      <c r="J58" s="5" t="s">
        <v>47</v>
      </c>
      <c r="K58" s="6"/>
      <c r="L58" s="6">
        <f>IF(J58="Collected",K58,IF(J58="Open",F58,F58+INDEX(Customer_list!$H$2:$H$21,MATCH(B58,Customer_list!$B$2:$B$21,0))*Weekly_Cash_Flow_Summary!$B$8))</f>
        <v>46227</v>
      </c>
      <c r="M58" s="7">
        <f>MIN(1,MAX(0,I58+Weekly_Cash_Flow_Summary!$B$7))</f>
        <v>0.97</v>
      </c>
    </row>
    <row r="59" spans="1:13" ht="15" customHeight="1" x14ac:dyDescent="0.2">
      <c r="A59" s="2" t="s">
        <v>129</v>
      </c>
      <c r="B59" s="2" t="s">
        <v>87</v>
      </c>
      <c r="C59" s="2" t="s">
        <v>88</v>
      </c>
      <c r="D59" s="2" t="s">
        <v>41</v>
      </c>
      <c r="E59" s="6">
        <v>46137</v>
      </c>
      <c r="F59" s="6">
        <f t="array" ref="F59">_xlfn.IFS(G59="EM15",EOMONTH(E59,0)+15, G59="EM30",EOMONTH(E59,0)+30, G59="EM45",EOMONTH(E59,0)+45, G59="EM60",EOMONTH(E59,0)+60, G59="OA15",E59+15, G59="OA30",E59+30, G59="OA60",E59+60 )</f>
        <v>46202</v>
      </c>
      <c r="G59" s="2" t="s">
        <v>55</v>
      </c>
      <c r="H59" s="3">
        <v>131000</v>
      </c>
      <c r="I59" s="4">
        <f>INDEX(Customer_list!$G$2:$G$21,MATCH(B59,Customer_list!$B$2:$B$21,0))</f>
        <v>0.9</v>
      </c>
      <c r="J59" s="5" t="s">
        <v>28</v>
      </c>
      <c r="K59" s="6">
        <v>46213</v>
      </c>
      <c r="L59" s="6">
        <f>IF(J59="Collected",K59,IF(J59="Open",F59,F59+INDEX(Customer_list!$H$2:$H$21,MATCH(B59,Customer_list!$B$2:$B$21,0))*Weekly_Cash_Flow_Summary!$B$8))</f>
        <v>46213</v>
      </c>
      <c r="M59" s="7">
        <f>MIN(1,MAX(0,I59+Weekly_Cash_Flow_Summary!$B$7))</f>
        <v>0.9</v>
      </c>
    </row>
    <row r="60" spans="1:13" ht="15" customHeight="1" x14ac:dyDescent="0.2">
      <c r="A60" s="2" t="s">
        <v>130</v>
      </c>
      <c r="B60" s="2" t="s">
        <v>91</v>
      </c>
      <c r="C60" s="2" t="s">
        <v>92</v>
      </c>
      <c r="D60" s="2" t="s">
        <v>26</v>
      </c>
      <c r="E60" s="6">
        <v>46160</v>
      </c>
      <c r="F60" s="6">
        <f t="array" ref="F60">_xlfn.IFS(G60="EM15",EOMONTH(E60,0)+15, G60="EM30",EOMONTH(E60,0)+30, G60="EM45",EOMONTH(E60,0)+45, G60="EM60",EOMONTH(E60,0)+60, G60="OA15",E60+15, G60="OA30",E60+30, G60="OA60",E60+60 )</f>
        <v>46218</v>
      </c>
      <c r="G60" s="2" t="s">
        <v>85</v>
      </c>
      <c r="H60" s="3">
        <v>125500</v>
      </c>
      <c r="I60" s="4">
        <f>INDEX(Customer_list!$G$2:$G$21,MATCH(B60,Customer_list!$B$2:$B$21,0))</f>
        <v>0.97</v>
      </c>
      <c r="J60" s="5" t="s">
        <v>28</v>
      </c>
      <c r="K60" s="6">
        <v>46218</v>
      </c>
      <c r="L60" s="6">
        <f>IF(J60="Collected",K60,IF(J60="Open",F60,F60+INDEX(Customer_list!$H$2:$H$21,MATCH(B60,Customer_list!$B$2:$B$21,0))*Weekly_Cash_Flow_Summary!$B$8))</f>
        <v>46218</v>
      </c>
      <c r="M60" s="7">
        <f>MIN(1,MAX(0,I60+Weekly_Cash_Flow_Summary!$B$7))</f>
        <v>0.97</v>
      </c>
    </row>
    <row r="61" spans="1:13" ht="15" customHeight="1" x14ac:dyDescent="0.2">
      <c r="A61" s="2" t="s">
        <v>131</v>
      </c>
      <c r="B61" s="2" t="s">
        <v>58</v>
      </c>
      <c r="C61" s="2" t="s">
        <v>59</v>
      </c>
      <c r="D61" s="2" t="s">
        <v>41</v>
      </c>
      <c r="E61" s="6">
        <v>46125</v>
      </c>
      <c r="F61" s="6">
        <f t="array" ref="F61">_xlfn.IFS(G61="EM15",EOMONTH(E61,0)+15, G61="EM30",EOMONTH(E61,0)+30, G61="EM45",EOMONTH(E61,0)+45, G61="EM60",EOMONTH(E61,0)+60, G61="OA15",E61+15, G61="OA30",E61+30, G61="OA60",E61+60 )</f>
        <v>46155</v>
      </c>
      <c r="G61" s="2" t="s">
        <v>35</v>
      </c>
      <c r="H61" s="3">
        <v>216000</v>
      </c>
      <c r="I61" s="4">
        <f>INDEX(Customer_list!$G$2:$G$21,MATCH(B61,Customer_list!$B$2:$B$21,0))</f>
        <v>0.9</v>
      </c>
      <c r="J61" s="5" t="s">
        <v>47</v>
      </c>
      <c r="K61" s="6"/>
      <c r="L61" s="6">
        <f>IF(J61="Collected",K61,IF(J61="Open",F61,F61+INDEX(Customer_list!$H$2:$H$21,MATCH(B61,Customer_list!$B$2:$B$21,0))*Weekly_Cash_Flow_Summary!$B$8))</f>
        <v>46165</v>
      </c>
      <c r="M61" s="7">
        <f>MIN(1,MAX(0,I61+Weekly_Cash_Flow_Summary!$B$7))</f>
        <v>0.9</v>
      </c>
    </row>
    <row r="62" spans="1:13" ht="15" customHeight="1" x14ac:dyDescent="0.2">
      <c r="A62" s="2" t="s">
        <v>132</v>
      </c>
      <c r="B62" s="2" t="s">
        <v>76</v>
      </c>
      <c r="C62" s="2" t="s">
        <v>77</v>
      </c>
      <c r="D62" s="2" t="s">
        <v>26</v>
      </c>
      <c r="E62" s="6">
        <v>46183</v>
      </c>
      <c r="F62" s="6">
        <f t="array" ref="F62">_xlfn.IFS(G62="EM15",EOMONTH(E62,0)+15, G62="EM30",EOMONTH(E62,0)+30, G62="EM45",EOMONTH(E62,0)+45, G62="EM60",EOMONTH(E62,0)+60, G62="OA15",E62+15, G62="OA30",E62+30, G62="OA60",E62+60 )</f>
        <v>46213</v>
      </c>
      <c r="G62" s="2" t="s">
        <v>35</v>
      </c>
      <c r="H62" s="3">
        <v>83500</v>
      </c>
      <c r="I62" s="4">
        <f>INDEX(Customer_list!$G$2:$G$21,MATCH(B62,Customer_list!$B$2:$B$21,0))</f>
        <v>0.97</v>
      </c>
      <c r="J62" s="5" t="s">
        <v>28</v>
      </c>
      <c r="K62" s="6">
        <v>46218</v>
      </c>
      <c r="L62" s="6">
        <f>IF(J62="Collected",K62,IF(J62="Open",F62,F62+INDEX(Customer_list!$H$2:$H$21,MATCH(B62,Customer_list!$B$2:$B$21,0))*Weekly_Cash_Flow_Summary!$B$8))</f>
        <v>46218</v>
      </c>
      <c r="M62" s="7">
        <f>MIN(1,MAX(0,I62+Weekly_Cash_Flow_Summary!$B$7))</f>
        <v>0.97</v>
      </c>
    </row>
    <row r="63" spans="1:13" ht="15" customHeight="1" x14ac:dyDescent="0.2">
      <c r="A63" s="2" t="s">
        <v>133</v>
      </c>
      <c r="B63" s="2" t="s">
        <v>67</v>
      </c>
      <c r="C63" s="2" t="s">
        <v>68</v>
      </c>
      <c r="D63" s="2" t="s">
        <v>41</v>
      </c>
      <c r="E63" s="6">
        <v>46204</v>
      </c>
      <c r="F63" s="6">
        <f t="array" ref="F63">_xlfn.IFS(G63="EM15",EOMONTH(E63,0)+15, G63="EM30",EOMONTH(E63,0)+30, G63="EM45",EOMONTH(E63,0)+45, G63="EM60",EOMONTH(E63,0)+60, G63="OA15",E63+15, G63="OA30",E63+30, G63="OA60",E63+60 )</f>
        <v>46249</v>
      </c>
      <c r="G63" s="2" t="s">
        <v>69</v>
      </c>
      <c r="H63" s="3">
        <v>197500</v>
      </c>
      <c r="I63" s="4">
        <f>INDEX(Customer_list!$G$2:$G$21,MATCH(B63,Customer_list!$B$2:$B$21,0))</f>
        <v>0.9</v>
      </c>
      <c r="J63" s="5" t="s">
        <v>37</v>
      </c>
      <c r="K63" s="6"/>
      <c r="L63" s="6">
        <f>IF(J63="Collected",K63,IF(J63="Open",F63,F63+INDEX(Customer_list!$H$2:$H$21,MATCH(B63,Customer_list!$B$2:$B$21,0))*Weekly_Cash_Flow_Summary!$B$8))</f>
        <v>46249</v>
      </c>
      <c r="M63" s="7">
        <f>MIN(1,MAX(0,I63+Weekly_Cash_Flow_Summary!$B$7))</f>
        <v>0.9</v>
      </c>
    </row>
    <row r="64" spans="1:13" ht="15" customHeight="1" x14ac:dyDescent="0.2">
      <c r="A64" s="2" t="s">
        <v>134</v>
      </c>
      <c r="B64" s="2" t="s">
        <v>79</v>
      </c>
      <c r="C64" s="2" t="s">
        <v>80</v>
      </c>
      <c r="D64" s="2" t="s">
        <v>41</v>
      </c>
      <c r="E64" s="6">
        <v>46121</v>
      </c>
      <c r="F64" s="6">
        <f t="array" ref="F64">_xlfn.IFS(G64="EM15",EOMONTH(E64,0)+15, G64="EM30",EOMONTH(E64,0)+30, G64="EM45",EOMONTH(E64,0)+45, G64="EM60",EOMONTH(E64,0)+60, G64="OA15",E64+15, G64="OA30",E64+30, G64="OA60",E64+60 )</f>
        <v>46151</v>
      </c>
      <c r="G64" s="2" t="s">
        <v>35</v>
      </c>
      <c r="H64" s="3">
        <v>328500</v>
      </c>
      <c r="I64" s="4">
        <f>INDEX(Customer_list!$G$2:$G$21,MATCH(B64,Customer_list!$B$2:$B$21,0))</f>
        <v>0.9</v>
      </c>
      <c r="J64" s="5" t="s">
        <v>28</v>
      </c>
      <c r="K64" s="6">
        <v>46167</v>
      </c>
      <c r="L64" s="6">
        <f>IF(J64="Collected",K64,IF(J64="Open",F64,F64+INDEX(Customer_list!$H$2:$H$21,MATCH(B64,Customer_list!$B$2:$B$21,0))*Weekly_Cash_Flow_Summary!$B$8))</f>
        <v>46167</v>
      </c>
      <c r="M64" s="7">
        <f>MIN(1,MAX(0,I64+Weekly_Cash_Flow_Summary!$B$7))</f>
        <v>0.9</v>
      </c>
    </row>
    <row r="65" spans="1:13" ht="15" customHeight="1" x14ac:dyDescent="0.2">
      <c r="A65" s="2" t="s">
        <v>135</v>
      </c>
      <c r="B65" s="2" t="s">
        <v>33</v>
      </c>
      <c r="C65" s="2" t="s">
        <v>34</v>
      </c>
      <c r="D65" s="2" t="s">
        <v>26</v>
      </c>
      <c r="E65" s="6">
        <v>46185</v>
      </c>
      <c r="F65" s="6">
        <f t="array" ref="F65">_xlfn.IFS(G65="EM15",EOMONTH(E65,0)+15, G65="EM30",EOMONTH(E65,0)+30, G65="EM45",EOMONTH(E65,0)+45, G65="EM60",EOMONTH(E65,0)+60, G65="OA15",E65+15, G65="OA30",E65+30, G65="OA60",E65+60 )</f>
        <v>46215</v>
      </c>
      <c r="G65" s="2" t="s">
        <v>35</v>
      </c>
      <c r="H65" s="3">
        <v>51000</v>
      </c>
      <c r="I65" s="4">
        <f>INDEX(Customer_list!$G$2:$G$21,MATCH(B65,Customer_list!$B$2:$B$21,0))</f>
        <v>0.97</v>
      </c>
      <c r="J65" s="5" t="s">
        <v>28</v>
      </c>
      <c r="K65" s="6">
        <v>46223</v>
      </c>
      <c r="L65" s="6">
        <f>IF(J65="Collected",K65,IF(J65="Open",F65,F65+INDEX(Customer_list!$H$2:$H$21,MATCH(B65,Customer_list!$B$2:$B$21,0))*Weekly_Cash_Flow_Summary!$B$8))</f>
        <v>46223</v>
      </c>
      <c r="M65" s="7">
        <f>MIN(1,MAX(0,I65+Weekly_Cash_Flow_Summary!$B$7))</f>
        <v>0.97</v>
      </c>
    </row>
    <row r="66" spans="1:13" ht="15" customHeight="1" x14ac:dyDescent="0.2">
      <c r="A66" s="2" t="s">
        <v>136</v>
      </c>
      <c r="B66" s="2" t="s">
        <v>137</v>
      </c>
      <c r="C66" s="2" t="s">
        <v>138</v>
      </c>
      <c r="D66" s="2" t="s">
        <v>41</v>
      </c>
      <c r="E66" s="6">
        <v>46120</v>
      </c>
      <c r="F66" s="6">
        <f t="array" ref="F66">_xlfn.IFS(G66="EM15",EOMONTH(E66,0)+15, G66="EM30",EOMONTH(E66,0)+30, G66="EM45",EOMONTH(E66,0)+45, G66="EM60",EOMONTH(E66,0)+60, G66="OA15",E66+15, G66="OA30",E66+30, G66="OA60",E66+60 )</f>
        <v>46187</v>
      </c>
      <c r="G66" s="2" t="s">
        <v>85</v>
      </c>
      <c r="H66" s="3">
        <v>193000</v>
      </c>
      <c r="I66" s="4">
        <f>INDEX(Customer_list!$G$2:$G$21,MATCH(B66,Customer_list!$B$2:$B$21,0))</f>
        <v>0.75</v>
      </c>
      <c r="J66" s="5" t="s">
        <v>28</v>
      </c>
      <c r="K66" s="6">
        <v>46208</v>
      </c>
      <c r="L66" s="6">
        <f>IF(J66="Collected",K66,IF(J66="Open",F66,F66+INDEX(Customer_list!$H$2:$H$21,MATCH(B66,Customer_list!$B$2:$B$21,0))*Weekly_Cash_Flow_Summary!$B$8))</f>
        <v>46208</v>
      </c>
      <c r="M66" s="7">
        <f>MIN(1,MAX(0,I66+Weekly_Cash_Flow_Summary!$B$7))</f>
        <v>0.75</v>
      </c>
    </row>
    <row r="67" spans="1:13" ht="15" customHeight="1" x14ac:dyDescent="0.2">
      <c r="A67" s="2" t="s">
        <v>139</v>
      </c>
      <c r="B67" s="2" t="s">
        <v>137</v>
      </c>
      <c r="C67" s="2" t="s">
        <v>138</v>
      </c>
      <c r="D67" s="2" t="s">
        <v>41</v>
      </c>
      <c r="E67" s="6">
        <v>46192</v>
      </c>
      <c r="F67" s="6">
        <f t="array" ref="F67">_xlfn.IFS(G67="EM15",EOMONTH(E67,0)+15, G67="EM30",EOMONTH(E67,0)+30, G67="EM45",EOMONTH(E67,0)+45, G67="EM60",EOMONTH(E67,0)+60, G67="OA15",E67+15, G67="OA30",E67+30, G67="OA60",E67+60 )</f>
        <v>46248</v>
      </c>
      <c r="G67" s="2" t="s">
        <v>85</v>
      </c>
      <c r="H67" s="3">
        <v>166000</v>
      </c>
      <c r="I67" s="4">
        <f>INDEX(Customer_list!$G$2:$G$21,MATCH(B67,Customer_list!$B$2:$B$21,0))</f>
        <v>0.75</v>
      </c>
      <c r="J67" s="5" t="s">
        <v>37</v>
      </c>
      <c r="K67" s="6"/>
      <c r="L67" s="6">
        <f>IF(J67="Collected",K67,IF(J67="Open",F67,F67+INDEX(Customer_list!$H$2:$H$21,MATCH(B67,Customer_list!$B$2:$B$21,0))*Weekly_Cash_Flow_Summary!$B$8))</f>
        <v>46248</v>
      </c>
      <c r="M67" s="7">
        <f>MIN(1,MAX(0,I67+Weekly_Cash_Flow_Summary!$B$7))</f>
        <v>0.75</v>
      </c>
    </row>
    <row r="68" spans="1:13" ht="15" customHeight="1" x14ac:dyDescent="0.2">
      <c r="A68" s="2" t="s">
        <v>140</v>
      </c>
      <c r="B68" s="2" t="s">
        <v>79</v>
      </c>
      <c r="C68" s="2" t="s">
        <v>80</v>
      </c>
      <c r="D68" s="2" t="s">
        <v>41</v>
      </c>
      <c r="E68" s="6">
        <v>46139</v>
      </c>
      <c r="F68" s="6">
        <f t="array" ref="F68">_xlfn.IFS(G68="EM15",EOMONTH(E68,0)+15, G68="EM30",EOMONTH(E68,0)+30, G68="EM45",EOMONTH(E68,0)+45, G68="EM60",EOMONTH(E68,0)+60, G68="OA15",E68+15, G68="OA30",E68+30, G68="OA60",E68+60 )</f>
        <v>46169</v>
      </c>
      <c r="G68" s="2" t="s">
        <v>35</v>
      </c>
      <c r="H68" s="3">
        <v>274500</v>
      </c>
      <c r="I68" s="4">
        <f>INDEX(Customer_list!$G$2:$G$21,MATCH(B68,Customer_list!$B$2:$B$21,0))</f>
        <v>0.9</v>
      </c>
      <c r="J68" s="5" t="s">
        <v>28</v>
      </c>
      <c r="K68" s="6">
        <v>46183</v>
      </c>
      <c r="L68" s="6">
        <f>IF(J68="Collected",K68,IF(J68="Open",F68,F68+INDEX(Customer_list!$H$2:$H$21,MATCH(B68,Customer_list!$B$2:$B$21,0))*Weekly_Cash_Flow_Summary!$B$8))</f>
        <v>46183</v>
      </c>
      <c r="M68" s="7">
        <f>MIN(1,MAX(0,I68+Weekly_Cash_Flow_Summary!$B$7))</f>
        <v>0.9</v>
      </c>
    </row>
    <row r="69" spans="1:13" ht="15" customHeight="1" x14ac:dyDescent="0.2">
      <c r="A69" s="2" t="s">
        <v>141</v>
      </c>
      <c r="B69" s="2" t="s">
        <v>79</v>
      </c>
      <c r="C69" s="2" t="s">
        <v>80</v>
      </c>
      <c r="D69" s="2" t="s">
        <v>41</v>
      </c>
      <c r="E69" s="6">
        <v>46176</v>
      </c>
      <c r="F69" s="6">
        <f t="array" ref="F69">_xlfn.IFS(G69="EM15",EOMONTH(E69,0)+15, G69="EM30",EOMONTH(E69,0)+30, G69="EM45",EOMONTH(E69,0)+45, G69="EM60",EOMONTH(E69,0)+60, G69="OA15",E69+15, G69="OA30",E69+30, G69="OA60",E69+60 )</f>
        <v>46206</v>
      </c>
      <c r="G69" s="2" t="s">
        <v>35</v>
      </c>
      <c r="H69" s="3">
        <v>319500</v>
      </c>
      <c r="I69" s="4">
        <f>INDEX(Customer_list!$G$2:$G$21,MATCH(B69,Customer_list!$B$2:$B$21,0))</f>
        <v>0.9</v>
      </c>
      <c r="J69" s="5" t="s">
        <v>28</v>
      </c>
      <c r="K69" s="6">
        <v>46213</v>
      </c>
      <c r="L69" s="6">
        <f>IF(J69="Collected",K69,IF(J69="Open",F69,F69+INDEX(Customer_list!$H$2:$H$21,MATCH(B69,Customer_list!$B$2:$B$21,0))*Weekly_Cash_Flow_Summary!$B$8))</f>
        <v>46213</v>
      </c>
      <c r="M69" s="7">
        <f>MIN(1,MAX(0,I69+Weekly_Cash_Flow_Summary!$B$7))</f>
        <v>0.9</v>
      </c>
    </row>
    <row r="70" spans="1:13" ht="15" customHeight="1" x14ac:dyDescent="0.2">
      <c r="A70" s="2" t="s">
        <v>142</v>
      </c>
      <c r="B70" s="2" t="s">
        <v>76</v>
      </c>
      <c r="C70" s="2" t="s">
        <v>77</v>
      </c>
      <c r="D70" s="2" t="s">
        <v>26</v>
      </c>
      <c r="E70" s="6">
        <v>46200</v>
      </c>
      <c r="F70" s="6">
        <f t="array" ref="F70">_xlfn.IFS(G70="EM15",EOMONTH(E70,0)+15, G70="EM30",EOMONTH(E70,0)+30, G70="EM45",EOMONTH(E70,0)+45, G70="EM60",EOMONTH(E70,0)+60, G70="OA15",E70+15, G70="OA30",E70+30, G70="OA60",E70+60 )</f>
        <v>46230</v>
      </c>
      <c r="G70" s="2" t="s">
        <v>35</v>
      </c>
      <c r="H70" s="3">
        <v>268000</v>
      </c>
      <c r="I70" s="4">
        <f>INDEX(Customer_list!$G$2:$G$21,MATCH(B70,Customer_list!$B$2:$B$21,0))</f>
        <v>0.97</v>
      </c>
      <c r="J70" s="5" t="s">
        <v>47</v>
      </c>
      <c r="K70" s="6"/>
      <c r="L70" s="6">
        <f>IF(J70="Collected",K70,IF(J70="Open",F70,F70+INDEX(Customer_list!$H$2:$H$21,MATCH(B70,Customer_list!$B$2:$B$21,0))*Weekly_Cash_Flow_Summary!$B$8))</f>
        <v>46233</v>
      </c>
      <c r="M70" s="7">
        <f>MIN(1,MAX(0,I70+Weekly_Cash_Flow_Summary!$B$7))</f>
        <v>0.97</v>
      </c>
    </row>
    <row r="71" spans="1:13" ht="15" customHeight="1" x14ac:dyDescent="0.2">
      <c r="A71" s="2" t="s">
        <v>143</v>
      </c>
      <c r="B71" s="2" t="s">
        <v>49</v>
      </c>
      <c r="C71" s="2" t="s">
        <v>50</v>
      </c>
      <c r="D71" s="2" t="s">
        <v>41</v>
      </c>
      <c r="E71" s="6">
        <v>46181</v>
      </c>
      <c r="F71" s="6">
        <f t="array" ref="F71">_xlfn.IFS(G71="EM15",EOMONTH(E71,0)+15, G71="EM30",EOMONTH(E71,0)+30, G71="EM45",EOMONTH(E71,0)+45, G71="EM60",EOMONTH(E71,0)+60, G71="OA15",E71+15, G71="OA30",E71+30, G71="OA60",E71+60 )</f>
        <v>46211</v>
      </c>
      <c r="G71" s="2" t="s">
        <v>35</v>
      </c>
      <c r="H71" s="3">
        <v>69500</v>
      </c>
      <c r="I71" s="4">
        <f>INDEX(Customer_list!$G$2:$G$21,MATCH(B71,Customer_list!$B$2:$B$21,0))</f>
        <v>0.75</v>
      </c>
      <c r="J71" s="5" t="s">
        <v>47</v>
      </c>
      <c r="K71" s="6"/>
      <c r="L71" s="6">
        <f>IF(J71="Collected",K71,IF(J71="Open",F71,F71+INDEX(Customer_list!$H$2:$H$21,MATCH(B71,Customer_list!$B$2:$B$21,0))*Weekly_Cash_Flow_Summary!$B$8))</f>
        <v>46236</v>
      </c>
      <c r="M71" s="7">
        <f>MIN(1,MAX(0,I71+Weekly_Cash_Flow_Summary!$B$7))</f>
        <v>0.75</v>
      </c>
    </row>
    <row r="72" spans="1:13" ht="15" customHeight="1" x14ac:dyDescent="0.2">
      <c r="A72" s="2" t="s">
        <v>144</v>
      </c>
      <c r="B72" s="2" t="s">
        <v>63</v>
      </c>
      <c r="C72" s="2" t="s">
        <v>64</v>
      </c>
      <c r="D72" s="2" t="s">
        <v>41</v>
      </c>
      <c r="E72" s="6">
        <v>46167</v>
      </c>
      <c r="F72" s="6">
        <f t="array" ref="F72">_xlfn.IFS(G72="EM15",EOMONTH(E72,0)+15, G72="EM30",EOMONTH(E72,0)+30, G72="EM45",EOMONTH(E72,0)+45, G72="EM60",EOMONTH(E72,0)+60, G72="OA15",E72+15, G72="OA30",E72+30, G72="OA60",E72+60 )</f>
        <v>46227</v>
      </c>
      <c r="G72" s="2" t="s">
        <v>65</v>
      </c>
      <c r="H72" s="3">
        <v>206000</v>
      </c>
      <c r="I72" s="4">
        <f>INDEX(Customer_list!$G$2:$G$21,MATCH(B72,Customer_list!$B$2:$B$21,0))</f>
        <v>0.9</v>
      </c>
      <c r="J72" s="5" t="s">
        <v>47</v>
      </c>
      <c r="K72" s="6"/>
      <c r="L72" s="6">
        <f>IF(J72="Collected",K72,IF(J72="Open",F72,F72+INDEX(Customer_list!$H$2:$H$21,MATCH(B72,Customer_list!$B$2:$B$21,0))*Weekly_Cash_Flow_Summary!$B$8))</f>
        <v>46237</v>
      </c>
      <c r="M72" s="7">
        <f>MIN(1,MAX(0,I72+Weekly_Cash_Flow_Summary!$B$7))</f>
        <v>0.9</v>
      </c>
    </row>
    <row r="73" spans="1:13" ht="15" customHeight="1" x14ac:dyDescent="0.2">
      <c r="A73" s="2" t="s">
        <v>145</v>
      </c>
      <c r="B73" s="2" t="s">
        <v>58</v>
      </c>
      <c r="C73" s="2" t="s">
        <v>59</v>
      </c>
      <c r="D73" s="2" t="s">
        <v>41</v>
      </c>
      <c r="E73" s="6">
        <v>46212</v>
      </c>
      <c r="F73" s="6">
        <f t="array" ref="F73">_xlfn.IFS(G73="EM15",EOMONTH(E73,0)+15, G73="EM30",EOMONTH(E73,0)+30, G73="EM45",EOMONTH(E73,0)+45, G73="EM60",EOMONTH(E73,0)+60, G73="OA15",E73+15, G73="OA30",E73+30, G73="OA60",E73+60 )</f>
        <v>46242</v>
      </c>
      <c r="G73" s="2" t="s">
        <v>35</v>
      </c>
      <c r="H73" s="3">
        <v>242000</v>
      </c>
      <c r="I73" s="4">
        <f>INDEX(Customer_list!$G$2:$G$21,MATCH(B73,Customer_list!$B$2:$B$21,0))</f>
        <v>0.9</v>
      </c>
      <c r="J73" s="5" t="s">
        <v>37</v>
      </c>
      <c r="K73" s="6"/>
      <c r="L73" s="6">
        <f>IF(J73="Collected",K73,IF(J73="Open",F73,F73+INDEX(Customer_list!$H$2:$H$21,MATCH(B73,Customer_list!$B$2:$B$21,0))*Weekly_Cash_Flow_Summary!$B$8))</f>
        <v>46242</v>
      </c>
      <c r="M73" s="7">
        <f>MIN(1,MAX(0,I73+Weekly_Cash_Flow_Summary!$B$7))</f>
        <v>0.9</v>
      </c>
    </row>
    <row r="74" spans="1:13" ht="15" customHeight="1" x14ac:dyDescent="0.2">
      <c r="A74" s="2" t="s">
        <v>146</v>
      </c>
      <c r="B74" s="2" t="s">
        <v>30</v>
      </c>
      <c r="C74" s="2" t="s">
        <v>31</v>
      </c>
      <c r="D74" s="2" t="s">
        <v>26</v>
      </c>
      <c r="E74" s="6">
        <v>46153</v>
      </c>
      <c r="F74" s="6">
        <f t="array" ref="F74">_xlfn.IFS(G74="EM15",EOMONTH(E74,0)+15, G74="EM30",EOMONTH(E74,0)+30, G74="EM45",EOMONTH(E74,0)+45, G74="EM60",EOMONTH(E74,0)+60, G74="OA15",E74+15, G74="OA30",E74+30, G74="OA60",E74+60 )</f>
        <v>46203</v>
      </c>
      <c r="G74" s="2" t="s">
        <v>27</v>
      </c>
      <c r="H74" s="3">
        <v>71500</v>
      </c>
      <c r="I74" s="4">
        <f>INDEX(Customer_list!$G$2:$G$21,MATCH(B74,Customer_list!$B$2:$B$21,0))</f>
        <v>0.9</v>
      </c>
      <c r="J74" s="5" t="s">
        <v>28</v>
      </c>
      <c r="K74" s="6">
        <v>46208</v>
      </c>
      <c r="L74" s="6">
        <f>IF(J74="Collected",K74,IF(J74="Open",F74,F74+INDEX(Customer_list!$H$2:$H$21,MATCH(B74,Customer_list!$B$2:$B$21,0))*Weekly_Cash_Flow_Summary!$B$8))</f>
        <v>46208</v>
      </c>
      <c r="M74" s="7">
        <f>MIN(1,MAX(0,I74+Weekly_Cash_Flow_Summary!$B$7))</f>
        <v>0.9</v>
      </c>
    </row>
    <row r="75" spans="1:13" ht="15" customHeight="1" x14ac:dyDescent="0.2">
      <c r="A75" s="2" t="s">
        <v>147</v>
      </c>
      <c r="B75" s="2" t="s">
        <v>87</v>
      </c>
      <c r="C75" s="2" t="s">
        <v>88</v>
      </c>
      <c r="D75" s="2" t="s">
        <v>41</v>
      </c>
      <c r="E75" s="6">
        <v>46172</v>
      </c>
      <c r="F75" s="6">
        <f t="array" ref="F75">_xlfn.IFS(G75="EM15",EOMONTH(E75,0)+15, G75="EM30",EOMONTH(E75,0)+30, G75="EM45",EOMONTH(E75,0)+45, G75="EM60",EOMONTH(E75,0)+60, G75="OA15",E75+15, G75="OA30",E75+30, G75="OA60",E75+60 )</f>
        <v>46233</v>
      </c>
      <c r="G75" s="2" t="s">
        <v>55</v>
      </c>
      <c r="H75" s="3">
        <v>77500</v>
      </c>
      <c r="I75" s="4">
        <f>INDEX(Customer_list!$G$2:$G$21,MATCH(B75,Customer_list!$B$2:$B$21,0))</f>
        <v>0.9</v>
      </c>
      <c r="J75" s="5" t="s">
        <v>37</v>
      </c>
      <c r="K75" s="6"/>
      <c r="L75" s="6">
        <f>IF(J75="Collected",K75,IF(J75="Open",F75,F75+INDEX(Customer_list!$H$2:$H$21,MATCH(B75,Customer_list!$B$2:$B$21,0))*Weekly_Cash_Flow_Summary!$B$8))</f>
        <v>46233</v>
      </c>
      <c r="M75" s="7">
        <f>MIN(1,MAX(0,I75+Weekly_Cash_Flow_Summary!$B$7))</f>
        <v>0.9</v>
      </c>
    </row>
    <row r="76" spans="1:13" ht="15" customHeight="1" x14ac:dyDescent="0.2">
      <c r="A76" s="2" t="s">
        <v>148</v>
      </c>
      <c r="B76" s="2" t="s">
        <v>63</v>
      </c>
      <c r="C76" s="2" t="s">
        <v>64</v>
      </c>
      <c r="D76" s="2" t="s">
        <v>41</v>
      </c>
      <c r="E76" s="6">
        <v>46187</v>
      </c>
      <c r="F76" s="6">
        <f t="array" ref="F76">_xlfn.IFS(G76="EM15",EOMONTH(E76,0)+15, G76="EM30",EOMONTH(E76,0)+30, G76="EM45",EOMONTH(E76,0)+45, G76="EM60",EOMONTH(E76,0)+60, G76="OA15",E76+15, G76="OA30",E76+30, G76="OA60",E76+60 )</f>
        <v>46247</v>
      </c>
      <c r="G76" s="2" t="s">
        <v>65</v>
      </c>
      <c r="H76" s="3">
        <v>150500</v>
      </c>
      <c r="I76" s="4">
        <f>INDEX(Customer_list!$G$2:$G$21,MATCH(B76,Customer_list!$B$2:$B$21,0))</f>
        <v>0.9</v>
      </c>
      <c r="J76" s="5" t="s">
        <v>37</v>
      </c>
      <c r="K76" s="6"/>
      <c r="L76" s="6">
        <f>IF(J76="Collected",K76,IF(J76="Open",F76,F76+INDEX(Customer_list!$H$2:$H$21,MATCH(B76,Customer_list!$B$2:$B$21,0))*Weekly_Cash_Flow_Summary!$B$8))</f>
        <v>46247</v>
      </c>
      <c r="M76" s="7">
        <f>MIN(1,MAX(0,I76+Weekly_Cash_Flow_Summary!$B$7))</f>
        <v>0.9</v>
      </c>
    </row>
    <row r="77" spans="1:13" ht="15" customHeight="1" x14ac:dyDescent="0.2">
      <c r="A77" s="2" t="s">
        <v>149</v>
      </c>
      <c r="B77" s="2" t="s">
        <v>100</v>
      </c>
      <c r="C77" s="2" t="s">
        <v>101</v>
      </c>
      <c r="D77" s="2" t="s">
        <v>46</v>
      </c>
      <c r="E77" s="6">
        <v>46231</v>
      </c>
      <c r="F77" s="6">
        <f t="array" ref="F77">_xlfn.IFS(G77="EM15",EOMONTH(E77,0)+15, G77="EM30",EOMONTH(E77,0)+30, G77="EM45",EOMONTH(E77,0)+45, G77="EM60",EOMONTH(E77,0)+60, G77="OA15",E77+15, G77="OA30",E77+30, G77="OA60",E77+60 )</f>
        <v>46249</v>
      </c>
      <c r="G77" s="2" t="s">
        <v>69</v>
      </c>
      <c r="H77" s="3">
        <v>120500</v>
      </c>
      <c r="I77" s="4">
        <f>INDEX(Customer_list!$G$2:$G$21,MATCH(B77,Customer_list!$B$2:$B$21,0))</f>
        <v>0.97</v>
      </c>
      <c r="J77" s="5" t="s">
        <v>37</v>
      </c>
      <c r="K77" s="6"/>
      <c r="L77" s="6">
        <f>IF(J77="Collected",K77,IF(J77="Open",F77,F77+INDEX(Customer_list!$H$2:$H$21,MATCH(B77,Customer_list!$B$2:$B$21,0))*Weekly_Cash_Flow_Summary!$B$8))</f>
        <v>46249</v>
      </c>
      <c r="M77" s="7">
        <f>MIN(1,MAX(0,I77+Weekly_Cash_Flow_Summary!$B$7))</f>
        <v>0.97</v>
      </c>
    </row>
    <row r="78" spans="1:13" ht="15" customHeight="1" x14ac:dyDescent="0.2">
      <c r="A78" s="2" t="s">
        <v>150</v>
      </c>
      <c r="B78" s="2" t="s">
        <v>79</v>
      </c>
      <c r="C78" s="2" t="s">
        <v>80</v>
      </c>
      <c r="D78" s="2" t="s">
        <v>41</v>
      </c>
      <c r="E78" s="6">
        <v>46171</v>
      </c>
      <c r="F78" s="6">
        <f t="array" ref="F78">_xlfn.IFS(G78="EM15",EOMONTH(E78,0)+15, G78="EM30",EOMONTH(E78,0)+30, G78="EM45",EOMONTH(E78,0)+45, G78="EM60",EOMONTH(E78,0)+60, G78="OA15",E78+15, G78="OA30",E78+30, G78="OA60",E78+60 )</f>
        <v>46201</v>
      </c>
      <c r="G78" s="2" t="s">
        <v>35</v>
      </c>
      <c r="H78" s="3">
        <v>93500</v>
      </c>
      <c r="I78" s="4">
        <f>INDEX(Customer_list!$G$2:$G$21,MATCH(B78,Customer_list!$B$2:$B$21,0))</f>
        <v>0.9</v>
      </c>
      <c r="J78" s="5" t="s">
        <v>28</v>
      </c>
      <c r="K78" s="6">
        <v>46213</v>
      </c>
      <c r="L78" s="6">
        <f>IF(J78="Collected",K78,IF(J78="Open",F78,F78+INDEX(Customer_list!$H$2:$H$21,MATCH(B78,Customer_list!$B$2:$B$21,0))*Weekly_Cash_Flow_Summary!$B$8))</f>
        <v>46213</v>
      </c>
      <c r="M78" s="7">
        <f>MIN(1,MAX(0,I78+Weekly_Cash_Flow_Summary!$B$7))</f>
        <v>0.9</v>
      </c>
    </row>
    <row r="79" spans="1:13" ht="15" customHeight="1" x14ac:dyDescent="0.2">
      <c r="A79" s="2" t="s">
        <v>151</v>
      </c>
      <c r="B79" s="2" t="s">
        <v>33</v>
      </c>
      <c r="C79" s="2" t="s">
        <v>34</v>
      </c>
      <c r="D79" s="2" t="s">
        <v>26</v>
      </c>
      <c r="E79" s="6">
        <v>46159</v>
      </c>
      <c r="F79" s="6">
        <f t="array" ref="F79">_xlfn.IFS(G79="EM15",EOMONTH(E79,0)+15, G79="EM30",EOMONTH(E79,0)+30, G79="EM45",EOMONTH(E79,0)+45, G79="EM60",EOMONTH(E79,0)+60, G79="OA15",E79+15, G79="OA30",E79+30, G79="OA60",E79+60 )</f>
        <v>46189</v>
      </c>
      <c r="G79" s="2" t="s">
        <v>35</v>
      </c>
      <c r="H79" s="3">
        <v>241000</v>
      </c>
      <c r="I79" s="4">
        <f>INDEX(Customer_list!$G$2:$G$21,MATCH(B79,Customer_list!$B$2:$B$21,0))</f>
        <v>0.97</v>
      </c>
      <c r="J79" s="5" t="s">
        <v>28</v>
      </c>
      <c r="K79" s="6">
        <v>46193</v>
      </c>
      <c r="L79" s="6">
        <f>IF(J79="Collected",K79,IF(J79="Open",F79,F79+INDEX(Customer_list!$H$2:$H$21,MATCH(B79,Customer_list!$B$2:$B$21,0))*Weekly_Cash_Flow_Summary!$B$8))</f>
        <v>46193</v>
      </c>
      <c r="M79" s="7">
        <f>MIN(1,MAX(0,I79+Weekly_Cash_Flow_Summary!$B$7))</f>
        <v>0.97</v>
      </c>
    </row>
    <row r="80" spans="1:13" ht="15" customHeight="1" x14ac:dyDescent="0.2">
      <c r="A80" s="2" t="s">
        <v>152</v>
      </c>
      <c r="B80" s="2" t="s">
        <v>76</v>
      </c>
      <c r="C80" s="2" t="s">
        <v>77</v>
      </c>
      <c r="D80" s="2" t="s">
        <v>26</v>
      </c>
      <c r="E80" s="6">
        <v>46151</v>
      </c>
      <c r="F80" s="6">
        <f t="array" ref="F80">_xlfn.IFS(G80="EM15",EOMONTH(E80,0)+15, G80="EM30",EOMONTH(E80,0)+30, G80="EM45",EOMONTH(E80,0)+45, G80="EM60",EOMONTH(E80,0)+60, G80="OA15",E80+15, G80="OA30",E80+30, G80="OA60",E80+60 )</f>
        <v>46181</v>
      </c>
      <c r="G80" s="2" t="s">
        <v>35</v>
      </c>
      <c r="H80" s="3">
        <v>151000</v>
      </c>
      <c r="I80" s="4">
        <f>INDEX(Customer_list!$G$2:$G$21,MATCH(B80,Customer_list!$B$2:$B$21,0))</f>
        <v>0.97</v>
      </c>
      <c r="J80" s="5" t="s">
        <v>28</v>
      </c>
      <c r="K80" s="6">
        <v>46188</v>
      </c>
      <c r="L80" s="6">
        <f>IF(J80="Collected",K80,IF(J80="Open",F80,F80+INDEX(Customer_list!$H$2:$H$21,MATCH(B80,Customer_list!$B$2:$B$21,0))*Weekly_Cash_Flow_Summary!$B$8))</f>
        <v>46188</v>
      </c>
      <c r="M80" s="7">
        <f>MIN(1,MAX(0,I80+Weekly_Cash_Flow_Summary!$B$7))</f>
        <v>0.97</v>
      </c>
    </row>
    <row r="81" spans="1:13" ht="15" customHeight="1" x14ac:dyDescent="0.2">
      <c r="A81" s="2" t="s">
        <v>153</v>
      </c>
      <c r="B81" s="2" t="s">
        <v>83</v>
      </c>
      <c r="C81" s="2" t="s">
        <v>84</v>
      </c>
      <c r="D81" s="2" t="s">
        <v>46</v>
      </c>
      <c r="E81" s="6">
        <v>46144</v>
      </c>
      <c r="F81" s="6">
        <f t="array" ref="F81">_xlfn.IFS(G81="EM15",EOMONTH(E81,0)+15, G81="EM30",EOMONTH(E81,0)+30, G81="EM45",EOMONTH(E81,0)+45, G81="EM60",EOMONTH(E81,0)+60, G81="OA15",E81+15, G81="OA30",E81+30, G81="OA60",E81+60 )</f>
        <v>46218</v>
      </c>
      <c r="G81" s="2" t="s">
        <v>85</v>
      </c>
      <c r="H81" s="3">
        <v>252500</v>
      </c>
      <c r="I81" s="4">
        <f>INDEX(Customer_list!$G$2:$G$21,MATCH(B81,Customer_list!$B$2:$B$21,0))</f>
        <v>0.75</v>
      </c>
      <c r="J81" s="5" t="s">
        <v>47</v>
      </c>
      <c r="K81" s="6"/>
      <c r="L81" s="6">
        <f>IF(J81="Collected",K81,IF(J81="Open",F81,F81+INDEX(Customer_list!$H$2:$H$21,MATCH(B81,Customer_list!$B$2:$B$21,0))*Weekly_Cash_Flow_Summary!$B$8))</f>
        <v>46243</v>
      </c>
      <c r="M81" s="7">
        <f>MIN(1,MAX(0,I81+Weekly_Cash_Flow_Summary!$B$7))</f>
        <v>0.75</v>
      </c>
    </row>
    <row r="82" spans="1:13" ht="15" customHeight="1" x14ac:dyDescent="0.2">
      <c r="A82" s="2" t="s">
        <v>154</v>
      </c>
      <c r="B82" s="2" t="s">
        <v>137</v>
      </c>
      <c r="C82" s="2" t="s">
        <v>138</v>
      </c>
      <c r="D82" s="2" t="s">
        <v>41</v>
      </c>
      <c r="E82" s="6">
        <v>46214</v>
      </c>
      <c r="F82" s="6">
        <f t="array" ref="F82">_xlfn.IFS(G82="EM15",EOMONTH(E82,0)+15, G82="EM30",EOMONTH(E82,0)+30, G82="EM45",EOMONTH(E82,0)+45, G82="EM60",EOMONTH(E82,0)+60, G82="OA15",E82+15, G82="OA30",E82+30, G82="OA60",E82+60 )</f>
        <v>46279</v>
      </c>
      <c r="G82" s="2" t="s">
        <v>85</v>
      </c>
      <c r="H82" s="3">
        <v>308500</v>
      </c>
      <c r="I82" s="4">
        <f>INDEX(Customer_list!$G$2:$G$21,MATCH(B82,Customer_list!$B$2:$B$21,0))</f>
        <v>0.75</v>
      </c>
      <c r="J82" s="5" t="s">
        <v>37</v>
      </c>
      <c r="K82" s="6"/>
      <c r="L82" s="6">
        <f>IF(J82="Collected",K82,IF(J82="Open",F82,F82+INDEX(Customer_list!$H$2:$H$21,MATCH(B82,Customer_list!$B$2:$B$21,0))*Weekly_Cash_Flow_Summary!$B$8))</f>
        <v>46279</v>
      </c>
      <c r="M82" s="7">
        <f>MIN(1,MAX(0,I82+Weekly_Cash_Flow_Summary!$B$7))</f>
        <v>0.75</v>
      </c>
    </row>
    <row r="83" spans="1:13" ht="15" customHeight="1" x14ac:dyDescent="0.2">
      <c r="A83" s="2" t="s">
        <v>155</v>
      </c>
      <c r="B83" s="2" t="s">
        <v>63</v>
      </c>
      <c r="C83" s="2" t="s">
        <v>64</v>
      </c>
      <c r="D83" s="2" t="s">
        <v>41</v>
      </c>
      <c r="E83" s="6">
        <v>46136</v>
      </c>
      <c r="F83" s="6">
        <f t="array" ref="F83">_xlfn.IFS(G83="EM15",EOMONTH(E83,0)+15, G83="EM30",EOMONTH(E83,0)+30, G83="EM45",EOMONTH(E83,0)+45, G83="EM60",EOMONTH(E83,0)+60, G83="OA15",E83+15, G83="OA30",E83+30, G83="OA60",E83+60 )</f>
        <v>46196</v>
      </c>
      <c r="G83" s="2" t="s">
        <v>65</v>
      </c>
      <c r="H83" s="3">
        <v>71500</v>
      </c>
      <c r="I83" s="4">
        <f>INDEX(Customer_list!$G$2:$G$21,MATCH(B83,Customer_list!$B$2:$B$21,0))</f>
        <v>0.9</v>
      </c>
      <c r="J83" s="5" t="s">
        <v>47</v>
      </c>
      <c r="K83" s="6"/>
      <c r="L83" s="6">
        <f>IF(J83="Collected",K83,IF(J83="Open",F83,F83+INDEX(Customer_list!$H$2:$H$21,MATCH(B83,Customer_list!$B$2:$B$21,0))*Weekly_Cash_Flow_Summary!$B$8))</f>
        <v>46206</v>
      </c>
      <c r="M83" s="7">
        <f>MIN(1,MAX(0,I83+Weekly_Cash_Flow_Summary!$B$7))</f>
        <v>0.9</v>
      </c>
    </row>
    <row r="84" spans="1:13" ht="15" customHeight="1" x14ac:dyDescent="0.2">
      <c r="A84" s="2" t="s">
        <v>156</v>
      </c>
      <c r="B84" s="2" t="s">
        <v>24</v>
      </c>
      <c r="C84" s="2" t="s">
        <v>25</v>
      </c>
      <c r="D84" s="2" t="s">
        <v>26</v>
      </c>
      <c r="E84" s="6">
        <v>46202</v>
      </c>
      <c r="F84" s="6">
        <f t="array" ref="F84">_xlfn.IFS(G84="EM15",EOMONTH(E84,0)+15, G84="EM30",EOMONTH(E84,0)+30, G84="EM45",EOMONTH(E84,0)+45, G84="EM60",EOMONTH(E84,0)+60, G84="OA15",E84+15, G84="OA30",E84+30, G84="OA60",E84+60 )</f>
        <v>46233</v>
      </c>
      <c r="G84" s="2" t="s">
        <v>27</v>
      </c>
      <c r="H84" s="3">
        <v>46500</v>
      </c>
      <c r="I84" s="4">
        <f>INDEX(Customer_list!$G$2:$G$21,MATCH(B84,Customer_list!$B$2:$B$21,0))</f>
        <v>0.97</v>
      </c>
      <c r="J84" s="5" t="s">
        <v>37</v>
      </c>
      <c r="K84" s="6"/>
      <c r="L84" s="6">
        <f>IF(J84="Collected",K84,IF(J84="Open",F84,F84+INDEX(Customer_list!$H$2:$H$21,MATCH(B84,Customer_list!$B$2:$B$21,0))*Weekly_Cash_Flow_Summary!$B$8))</f>
        <v>46233</v>
      </c>
      <c r="M84" s="7">
        <f>MIN(1,MAX(0,I84+Weekly_Cash_Flow_Summary!$B$7))</f>
        <v>0.97</v>
      </c>
    </row>
    <row r="85" spans="1:13" ht="15" customHeight="1" x14ac:dyDescent="0.2">
      <c r="A85" s="2" t="s">
        <v>157</v>
      </c>
      <c r="B85" s="2" t="s">
        <v>63</v>
      </c>
      <c r="C85" s="2" t="s">
        <v>64</v>
      </c>
      <c r="D85" s="2" t="s">
        <v>41</v>
      </c>
      <c r="E85" s="6">
        <v>46212</v>
      </c>
      <c r="F85" s="6">
        <f t="array" ref="F85">_xlfn.IFS(G85="EM15",EOMONTH(E85,0)+15, G85="EM30",EOMONTH(E85,0)+30, G85="EM45",EOMONTH(E85,0)+45, G85="EM60",EOMONTH(E85,0)+60, G85="OA15",E85+15, G85="OA30",E85+30, G85="OA60",E85+60 )</f>
        <v>46272</v>
      </c>
      <c r="G85" s="2" t="s">
        <v>65</v>
      </c>
      <c r="H85" s="3">
        <v>27500</v>
      </c>
      <c r="I85" s="4">
        <f>INDEX(Customer_list!$G$2:$G$21,MATCH(B85,Customer_list!$B$2:$B$21,0))</f>
        <v>0.9</v>
      </c>
      <c r="J85" s="5" t="s">
        <v>37</v>
      </c>
      <c r="K85" s="6"/>
      <c r="L85" s="6">
        <f>IF(J85="Collected",K85,IF(J85="Open",F85,F85+INDEX(Customer_list!$H$2:$H$21,MATCH(B85,Customer_list!$B$2:$B$21,0))*Weekly_Cash_Flow_Summary!$B$8))</f>
        <v>46272</v>
      </c>
      <c r="M85" s="7">
        <f>MIN(1,MAX(0,I85+Weekly_Cash_Flow_Summary!$B$7))</f>
        <v>0.9</v>
      </c>
    </row>
    <row r="86" spans="1:13" ht="15" customHeight="1" x14ac:dyDescent="0.2">
      <c r="A86" s="2" t="s">
        <v>158</v>
      </c>
      <c r="B86" s="2" t="s">
        <v>87</v>
      </c>
      <c r="C86" s="2" t="s">
        <v>88</v>
      </c>
      <c r="D86" s="2" t="s">
        <v>41</v>
      </c>
      <c r="E86" s="6">
        <v>46144</v>
      </c>
      <c r="F86" s="6">
        <f t="array" ref="F86">_xlfn.IFS(G86="EM15",EOMONTH(E86,0)+15, G86="EM30",EOMONTH(E86,0)+30, G86="EM45",EOMONTH(E86,0)+45, G86="EM60",EOMONTH(E86,0)+60, G86="OA15",E86+15, G86="OA30",E86+30, G86="OA60",E86+60 )</f>
        <v>46233</v>
      </c>
      <c r="G86" s="2" t="s">
        <v>55</v>
      </c>
      <c r="H86" s="3">
        <v>144000</v>
      </c>
      <c r="I86" s="4">
        <f>INDEX(Customer_list!$G$2:$G$21,MATCH(B86,Customer_list!$B$2:$B$21,0))</f>
        <v>0.9</v>
      </c>
      <c r="J86" s="5" t="s">
        <v>37</v>
      </c>
      <c r="K86" s="6"/>
      <c r="L86" s="6">
        <f>IF(J86="Collected",K86,IF(J86="Open",F86,F86+INDEX(Customer_list!$H$2:$H$21,MATCH(B86,Customer_list!$B$2:$B$21,0))*Weekly_Cash_Flow_Summary!$B$8))</f>
        <v>46233</v>
      </c>
      <c r="M86" s="7">
        <f>MIN(1,MAX(0,I86+Weekly_Cash_Flow_Summary!$B$7))</f>
        <v>0.9</v>
      </c>
    </row>
    <row r="87" spans="1:13" ht="15" customHeight="1" x14ac:dyDescent="0.2">
      <c r="A87" s="2" t="s">
        <v>159</v>
      </c>
      <c r="B87" s="2" t="s">
        <v>39</v>
      </c>
      <c r="C87" s="2" t="s">
        <v>40</v>
      </c>
      <c r="D87" s="2" t="s">
        <v>41</v>
      </c>
      <c r="E87" s="6">
        <v>46123</v>
      </c>
      <c r="F87" s="6">
        <f t="array" ref="F87">_xlfn.IFS(G87="EM15",EOMONTH(E87,0)+15, G87="EM30",EOMONTH(E87,0)+30, G87="EM45",EOMONTH(E87,0)+45, G87="EM60",EOMONTH(E87,0)+60, G87="OA15",E87+15, G87="OA30",E87+30, G87="OA60",E87+60 )</f>
        <v>46138</v>
      </c>
      <c r="G87" s="2" t="s">
        <v>42</v>
      </c>
      <c r="H87" s="3">
        <v>272500</v>
      </c>
      <c r="I87" s="4">
        <f>INDEX(Customer_list!$G$2:$G$21,MATCH(B87,Customer_list!$B$2:$B$21,0))</f>
        <v>0.75</v>
      </c>
      <c r="J87" s="5" t="s">
        <v>28</v>
      </c>
      <c r="K87" s="6">
        <v>46162</v>
      </c>
      <c r="L87" s="6">
        <f>IF(J87="Collected",K87,IF(J87="Open",F87,F87+INDEX(Customer_list!$H$2:$H$21,MATCH(B87,Customer_list!$B$2:$B$21,0))*Weekly_Cash_Flow_Summary!$B$8))</f>
        <v>46162</v>
      </c>
      <c r="M87" s="7">
        <f>MIN(1,MAX(0,I87+Weekly_Cash_Flow_Summary!$B$7))</f>
        <v>0.75</v>
      </c>
    </row>
    <row r="88" spans="1:13" ht="15" customHeight="1" x14ac:dyDescent="0.2">
      <c r="A88" s="2" t="s">
        <v>160</v>
      </c>
      <c r="B88" s="2" t="s">
        <v>161</v>
      </c>
      <c r="C88" s="2" t="s">
        <v>162</v>
      </c>
      <c r="D88" s="2" t="s">
        <v>46</v>
      </c>
      <c r="E88" s="6">
        <v>46186</v>
      </c>
      <c r="F88" s="6">
        <f t="array" ref="F88">_xlfn.IFS(G88="EM15",EOMONTH(E88,0)+15, G88="EM30",EOMONTH(E88,0)+30, G88="EM45",EOMONTH(E88,0)+45, G88="EM60",EOMONTH(E88,0)+60, G88="OA15",E88+15, G88="OA30",E88+30, G88="OA60",E88+60 )</f>
        <v>46216</v>
      </c>
      <c r="G88" s="2" t="s">
        <v>35</v>
      </c>
      <c r="H88" s="3">
        <v>50500</v>
      </c>
      <c r="I88" s="4">
        <f>INDEX(Customer_list!$G$2:$G$21,MATCH(B88,Customer_list!$B$2:$B$21,0))</f>
        <v>0.9</v>
      </c>
      <c r="J88" s="5" t="s">
        <v>47</v>
      </c>
      <c r="K88" s="6"/>
      <c r="L88" s="6">
        <f>IF(J88="Collected",K88,IF(J88="Open",F88,F88+INDEX(Customer_list!$H$2:$H$21,MATCH(B88,Customer_list!$B$2:$B$21,0))*Weekly_Cash_Flow_Summary!$B$8))</f>
        <v>46226</v>
      </c>
      <c r="M88" s="7">
        <f>MIN(1,MAX(0,I88+Weekly_Cash_Flow_Summary!$B$7))</f>
        <v>0.9</v>
      </c>
    </row>
    <row r="89" spans="1:13" ht="15" customHeight="1" x14ac:dyDescent="0.2">
      <c r="A89" s="2" t="s">
        <v>163</v>
      </c>
      <c r="B89" s="2" t="s">
        <v>67</v>
      </c>
      <c r="C89" s="2" t="s">
        <v>68</v>
      </c>
      <c r="D89" s="2" t="s">
        <v>41</v>
      </c>
      <c r="E89" s="6">
        <v>46151</v>
      </c>
      <c r="F89" s="6">
        <f t="array" ref="F89">_xlfn.IFS(G89="EM15",EOMONTH(E89,0)+15, G89="EM30",EOMONTH(E89,0)+30, G89="EM45",EOMONTH(E89,0)+45, G89="EM60",EOMONTH(E89,0)+60, G89="OA15",E89+15, G89="OA30",E89+30, G89="OA60",E89+60 )</f>
        <v>46188</v>
      </c>
      <c r="G89" s="2" t="s">
        <v>69</v>
      </c>
      <c r="H89" s="3">
        <v>106500</v>
      </c>
      <c r="I89" s="4">
        <f>INDEX(Customer_list!$G$2:$G$21,MATCH(B89,Customer_list!$B$2:$B$21,0))</f>
        <v>0.9</v>
      </c>
      <c r="J89" s="5" t="s">
        <v>47</v>
      </c>
      <c r="K89" s="6"/>
      <c r="L89" s="6">
        <f>IF(J89="Collected",K89,IF(J89="Open",F89,F89+INDEX(Customer_list!$H$2:$H$21,MATCH(B89,Customer_list!$B$2:$B$21,0))*Weekly_Cash_Flow_Summary!$B$8))</f>
        <v>46198</v>
      </c>
      <c r="M89" s="7">
        <f>MIN(1,MAX(0,I89+Weekly_Cash_Flow_Summary!$B$7))</f>
        <v>0.9</v>
      </c>
    </row>
    <row r="90" spans="1:13" ht="15" customHeight="1" x14ac:dyDescent="0.2">
      <c r="A90" s="2" t="s">
        <v>164</v>
      </c>
      <c r="B90" s="2" t="s">
        <v>100</v>
      </c>
      <c r="C90" s="2" t="s">
        <v>101</v>
      </c>
      <c r="D90" s="2" t="s">
        <v>46</v>
      </c>
      <c r="E90" s="6">
        <v>46180</v>
      </c>
      <c r="F90" s="6">
        <f t="array" ref="F90">_xlfn.IFS(G90="EM15",EOMONTH(E90,0)+15, G90="EM30",EOMONTH(E90,0)+30, G90="EM45",EOMONTH(E90,0)+45, G90="EM60",EOMONTH(E90,0)+60, G90="OA15",E90+15, G90="OA30",E90+30, G90="OA60",E90+60 )</f>
        <v>46218</v>
      </c>
      <c r="G90" s="2" t="s">
        <v>69</v>
      </c>
      <c r="H90" s="3">
        <v>159000</v>
      </c>
      <c r="I90" s="4">
        <f>INDEX(Customer_list!$G$2:$G$21,MATCH(B90,Customer_list!$B$2:$B$21,0))</f>
        <v>0.97</v>
      </c>
      <c r="J90" s="5" t="s">
        <v>28</v>
      </c>
      <c r="K90" s="6">
        <v>46218</v>
      </c>
      <c r="L90" s="6">
        <f>IF(J90="Collected",K90,IF(J90="Open",F90,F90+INDEX(Customer_list!$H$2:$H$21,MATCH(B90,Customer_list!$B$2:$B$21,0))*Weekly_Cash_Flow_Summary!$B$8))</f>
        <v>46218</v>
      </c>
      <c r="M90" s="7">
        <f>MIN(1,MAX(0,I90+Weekly_Cash_Flow_Summary!$B$7))</f>
        <v>0.97</v>
      </c>
    </row>
    <row r="91" spans="1:13" ht="15" customHeight="1" x14ac:dyDescent="0.2">
      <c r="A91" s="2" t="s">
        <v>165</v>
      </c>
      <c r="B91" s="2" t="s">
        <v>63</v>
      </c>
      <c r="C91" s="2" t="s">
        <v>64</v>
      </c>
      <c r="D91" s="2" t="s">
        <v>41</v>
      </c>
      <c r="E91" s="6">
        <v>46176</v>
      </c>
      <c r="F91" s="6">
        <f t="array" ref="F91">_xlfn.IFS(G91="EM15",EOMONTH(E91,0)+15, G91="EM30",EOMONTH(E91,0)+30, G91="EM45",EOMONTH(E91,0)+45, G91="EM60",EOMONTH(E91,0)+60, G91="OA15",E91+15, G91="OA30",E91+30, G91="OA60",E91+60 )</f>
        <v>46236</v>
      </c>
      <c r="G91" s="2" t="s">
        <v>65</v>
      </c>
      <c r="H91" s="3">
        <v>258500</v>
      </c>
      <c r="I91" s="4">
        <f>INDEX(Customer_list!$G$2:$G$21,MATCH(B91,Customer_list!$B$2:$B$21,0))</f>
        <v>0.9</v>
      </c>
      <c r="J91" s="5" t="s">
        <v>37</v>
      </c>
      <c r="K91" s="6"/>
      <c r="L91" s="6">
        <f>IF(J91="Collected",K91,IF(J91="Open",F91,F91+INDEX(Customer_list!$H$2:$H$21,MATCH(B91,Customer_list!$B$2:$B$21,0))*Weekly_Cash_Flow_Summary!$B$8))</f>
        <v>46236</v>
      </c>
      <c r="M91" s="7">
        <f>MIN(1,MAX(0,I91+Weekly_Cash_Flow_Summary!$B$7))</f>
        <v>0.9</v>
      </c>
    </row>
    <row r="92" spans="1:13" ht="15" customHeight="1" x14ac:dyDescent="0.2">
      <c r="A92" s="2" t="s">
        <v>166</v>
      </c>
      <c r="B92" s="2" t="s">
        <v>33</v>
      </c>
      <c r="C92" s="2" t="s">
        <v>34</v>
      </c>
      <c r="D92" s="2" t="s">
        <v>26</v>
      </c>
      <c r="E92" s="6">
        <v>46225</v>
      </c>
      <c r="F92" s="6">
        <f t="array" ref="F92">_xlfn.IFS(G92="EM15",EOMONTH(E92,0)+15, G92="EM30",EOMONTH(E92,0)+30, G92="EM45",EOMONTH(E92,0)+45, G92="EM60",EOMONTH(E92,0)+60, G92="OA15",E92+15, G92="OA30",E92+30, G92="OA60",E92+60 )</f>
        <v>46255</v>
      </c>
      <c r="G92" s="2" t="s">
        <v>35</v>
      </c>
      <c r="H92" s="3">
        <v>169500</v>
      </c>
      <c r="I92" s="4">
        <f>INDEX(Customer_list!$G$2:$G$21,MATCH(B92,Customer_list!$B$2:$B$21,0))</f>
        <v>0.97</v>
      </c>
      <c r="J92" s="5" t="s">
        <v>37</v>
      </c>
      <c r="K92" s="6"/>
      <c r="L92" s="6">
        <f>IF(J92="Collected",K92,IF(J92="Open",F92,F92+INDEX(Customer_list!$H$2:$H$21,MATCH(B92,Customer_list!$B$2:$B$21,0))*Weekly_Cash_Flow_Summary!$B$8))</f>
        <v>46255</v>
      </c>
      <c r="M92" s="7">
        <f>MIN(1,MAX(0,I92+Weekly_Cash_Flow_Summary!$B$7))</f>
        <v>0.97</v>
      </c>
    </row>
    <row r="93" spans="1:13" ht="15" customHeight="1" x14ac:dyDescent="0.2">
      <c r="A93" s="2" t="s">
        <v>167</v>
      </c>
      <c r="B93" s="2" t="s">
        <v>39</v>
      </c>
      <c r="C93" s="2" t="s">
        <v>40</v>
      </c>
      <c r="D93" s="2" t="s">
        <v>41</v>
      </c>
      <c r="E93" s="6">
        <v>46156</v>
      </c>
      <c r="F93" s="6">
        <f t="array" ref="F93">_xlfn.IFS(G93="EM15",EOMONTH(E93,0)+15, G93="EM30",EOMONTH(E93,0)+30, G93="EM45",EOMONTH(E93,0)+45, G93="EM60",EOMONTH(E93,0)+60, G93="OA15",E93+15, G93="OA30",E93+30, G93="OA60",E93+60 )</f>
        <v>46171</v>
      </c>
      <c r="G93" s="2" t="s">
        <v>42</v>
      </c>
      <c r="H93" s="3">
        <v>275000</v>
      </c>
      <c r="I93" s="4">
        <f>INDEX(Customer_list!$G$2:$G$21,MATCH(B93,Customer_list!$B$2:$B$21,0))</f>
        <v>0.75</v>
      </c>
      <c r="J93" s="5" t="s">
        <v>28</v>
      </c>
      <c r="K93" s="6">
        <v>46193</v>
      </c>
      <c r="L93" s="6">
        <f>IF(J93="Collected",K93,IF(J93="Open",F93,F93+INDEX(Customer_list!$H$2:$H$21,MATCH(B93,Customer_list!$B$2:$B$21,0))*Weekly_Cash_Flow_Summary!$B$8))</f>
        <v>46193</v>
      </c>
      <c r="M93" s="7">
        <f>MIN(1,MAX(0,I93+Weekly_Cash_Flow_Summary!$B$7))</f>
        <v>0.75</v>
      </c>
    </row>
    <row r="94" spans="1:13" ht="15" customHeight="1" x14ac:dyDescent="0.2">
      <c r="A94" s="2" t="s">
        <v>168</v>
      </c>
      <c r="B94" s="2" t="s">
        <v>67</v>
      </c>
      <c r="C94" s="2" t="s">
        <v>68</v>
      </c>
      <c r="D94" s="2" t="s">
        <v>41</v>
      </c>
      <c r="E94" s="6">
        <v>46206</v>
      </c>
      <c r="F94" s="6">
        <f t="array" ref="F94">_xlfn.IFS(G94="EM15",EOMONTH(E94,0)+15, G94="EM30",EOMONTH(E94,0)+30, G94="EM45",EOMONTH(E94,0)+45, G94="EM60",EOMONTH(E94,0)+60, G94="OA15",E94+15, G94="OA30",E94+30, G94="OA60",E94+60 )</f>
        <v>46249</v>
      </c>
      <c r="G94" s="2" t="s">
        <v>69</v>
      </c>
      <c r="H94" s="3">
        <v>134000</v>
      </c>
      <c r="I94" s="4">
        <f>INDEX(Customer_list!$G$2:$G$21,MATCH(B94,Customer_list!$B$2:$B$21,0))</f>
        <v>0.9</v>
      </c>
      <c r="J94" s="5" t="s">
        <v>37</v>
      </c>
      <c r="K94" s="6"/>
      <c r="L94" s="6">
        <f>IF(J94="Collected",K94,IF(J94="Open",F94,F94+INDEX(Customer_list!$H$2:$H$21,MATCH(B94,Customer_list!$B$2:$B$21,0))*Weekly_Cash_Flow_Summary!$B$8))</f>
        <v>46249</v>
      </c>
      <c r="M94" s="7">
        <f>MIN(1,MAX(0,I94+Weekly_Cash_Flow_Summary!$B$7))</f>
        <v>0.9</v>
      </c>
    </row>
    <row r="95" spans="1:13" ht="15" customHeight="1" x14ac:dyDescent="0.2">
      <c r="A95" s="2" t="s">
        <v>169</v>
      </c>
      <c r="B95" s="2" t="s">
        <v>72</v>
      </c>
      <c r="C95" s="2" t="s">
        <v>73</v>
      </c>
      <c r="D95" s="2" t="s">
        <v>26</v>
      </c>
      <c r="E95" s="6">
        <v>46170</v>
      </c>
      <c r="F95" s="6">
        <f t="array" ref="F95">_xlfn.IFS(G95="EM15",EOMONTH(E95,0)+15, G95="EM30",EOMONTH(E95,0)+30, G95="EM45",EOMONTH(E95,0)+45, G95="EM60",EOMONTH(E95,0)+60, G95="OA15",E95+15, G95="OA30",E95+30, G95="OA60",E95+60 )</f>
        <v>46233</v>
      </c>
      <c r="G95" s="2" t="s">
        <v>55</v>
      </c>
      <c r="H95" s="3">
        <v>323500</v>
      </c>
      <c r="I95" s="4">
        <f>INDEX(Customer_list!$G$2:$G$21,MATCH(B95,Customer_list!$B$2:$B$21,0))</f>
        <v>0.97</v>
      </c>
      <c r="J95" s="5" t="s">
        <v>37</v>
      </c>
      <c r="K95" s="6"/>
      <c r="L95" s="6">
        <f>IF(J95="Collected",K95,IF(J95="Open",F95,F95+INDEX(Customer_list!$H$2:$H$21,MATCH(B95,Customer_list!$B$2:$B$21,0))*Weekly_Cash_Flow_Summary!$B$8))</f>
        <v>46233</v>
      </c>
      <c r="M95" s="7">
        <f>MIN(1,MAX(0,I95+Weekly_Cash_Flow_Summary!$B$7))</f>
        <v>0.97</v>
      </c>
    </row>
    <row r="96" spans="1:13" ht="15" customHeight="1" x14ac:dyDescent="0.2">
      <c r="A96" s="2" t="s">
        <v>170</v>
      </c>
      <c r="B96" s="2" t="s">
        <v>67</v>
      </c>
      <c r="C96" s="2" t="s">
        <v>68</v>
      </c>
      <c r="D96" s="2" t="s">
        <v>41</v>
      </c>
      <c r="E96" s="6">
        <v>46149</v>
      </c>
      <c r="F96" s="6">
        <f t="array" ref="F96">_xlfn.IFS(G96="EM15",EOMONTH(E96,0)+15, G96="EM30",EOMONTH(E96,0)+30, G96="EM45",EOMONTH(E96,0)+45, G96="EM60",EOMONTH(E96,0)+60, G96="OA15",E96+15, G96="OA30",E96+30, G96="OA60",E96+60 )</f>
        <v>46188</v>
      </c>
      <c r="G96" s="2" t="s">
        <v>69</v>
      </c>
      <c r="H96" s="3">
        <v>184500</v>
      </c>
      <c r="I96" s="4">
        <f>INDEX(Customer_list!$G$2:$G$21,MATCH(B96,Customer_list!$B$2:$B$21,0))</f>
        <v>0.9</v>
      </c>
      <c r="J96" s="5" t="s">
        <v>28</v>
      </c>
      <c r="K96" s="6">
        <v>46198</v>
      </c>
      <c r="L96" s="6">
        <f>IF(J96="Collected",K96,IF(J96="Open",F96,F96+INDEX(Customer_list!$H$2:$H$21,MATCH(B96,Customer_list!$B$2:$B$21,0))*Weekly_Cash_Flow_Summary!$B$8))</f>
        <v>46198</v>
      </c>
      <c r="M96" s="7">
        <f>MIN(1,MAX(0,I96+Weekly_Cash_Flow_Summary!$B$7))</f>
        <v>0.9</v>
      </c>
    </row>
    <row r="97" spans="1:13" ht="15" customHeight="1" x14ac:dyDescent="0.2">
      <c r="A97" s="2" t="s">
        <v>171</v>
      </c>
      <c r="B97" s="2" t="s">
        <v>44</v>
      </c>
      <c r="C97" s="2" t="s">
        <v>45</v>
      </c>
      <c r="D97" s="2" t="s">
        <v>46</v>
      </c>
      <c r="E97" s="6">
        <v>46190</v>
      </c>
      <c r="F97" s="6">
        <f t="array" ref="F97">_xlfn.IFS(G97="EM15",EOMONTH(E97,0)+15, G97="EM30",EOMONTH(E97,0)+30, G97="EM45",EOMONTH(E97,0)+45, G97="EM60",EOMONTH(E97,0)+60, G97="OA15",E97+15, G97="OA30",E97+30, G97="OA60",E97+60 )</f>
        <v>46220</v>
      </c>
      <c r="G97" s="2" t="s">
        <v>35</v>
      </c>
      <c r="H97" s="3">
        <v>283500</v>
      </c>
      <c r="I97" s="4">
        <f>INDEX(Customer_list!$G$2:$G$21,MATCH(B97,Customer_list!$B$2:$B$21,0))</f>
        <v>0.75</v>
      </c>
      <c r="J97" s="5" t="s">
        <v>47</v>
      </c>
      <c r="K97" s="6"/>
      <c r="L97" s="6">
        <f>IF(J97="Collected",K97,IF(J97="Open",F97,F97+INDEX(Customer_list!$H$2:$H$21,MATCH(B97,Customer_list!$B$2:$B$21,0))*Weekly_Cash_Flow_Summary!$B$8))</f>
        <v>46245</v>
      </c>
      <c r="M97" s="7">
        <f>MIN(1,MAX(0,I97+Weekly_Cash_Flow_Summary!$B$7))</f>
        <v>0.75</v>
      </c>
    </row>
    <row r="98" spans="1:13" ht="15" customHeight="1" x14ac:dyDescent="0.2">
      <c r="A98" s="2" t="s">
        <v>172</v>
      </c>
      <c r="B98" s="2" t="s">
        <v>24</v>
      </c>
      <c r="C98" s="2" t="s">
        <v>25</v>
      </c>
      <c r="D98" s="2" t="s">
        <v>26</v>
      </c>
      <c r="E98" s="6">
        <v>46122</v>
      </c>
      <c r="F98" s="6">
        <f t="array" ref="F98">_xlfn.IFS(G98="EM15",EOMONTH(E98,0)+15, G98="EM30",EOMONTH(E98,0)+30, G98="EM45",EOMONTH(E98,0)+45, G98="EM60",EOMONTH(E98,0)+60, G98="OA15",E98+15, G98="OA30",E98+30, G98="OA60",E98+60 )</f>
        <v>46172</v>
      </c>
      <c r="G98" s="2" t="s">
        <v>27</v>
      </c>
      <c r="H98" s="3">
        <v>298500</v>
      </c>
      <c r="I98" s="4">
        <f>INDEX(Customer_list!$G$2:$G$21,MATCH(B98,Customer_list!$B$2:$B$21,0))</f>
        <v>0.97</v>
      </c>
      <c r="J98" s="5" t="s">
        <v>28</v>
      </c>
      <c r="K98" s="6">
        <v>46172</v>
      </c>
      <c r="L98" s="6">
        <f>IF(J98="Collected",K98,IF(J98="Open",F98,F98+INDEX(Customer_list!$H$2:$H$21,MATCH(B98,Customer_list!$B$2:$B$21,0))*Weekly_Cash_Flow_Summary!$B$8))</f>
        <v>46172</v>
      </c>
      <c r="M98" s="7">
        <f>MIN(1,MAX(0,I98+Weekly_Cash_Flow_Summary!$B$7))</f>
        <v>0.97</v>
      </c>
    </row>
    <row r="99" spans="1:13" ht="15" customHeight="1" x14ac:dyDescent="0.2">
      <c r="A99" s="2" t="s">
        <v>173</v>
      </c>
      <c r="B99" s="2" t="s">
        <v>91</v>
      </c>
      <c r="C99" s="2" t="s">
        <v>92</v>
      </c>
      <c r="D99" s="2" t="s">
        <v>26</v>
      </c>
      <c r="E99" s="6">
        <v>46128</v>
      </c>
      <c r="F99" s="6">
        <f t="array" ref="F99">_xlfn.IFS(G99="EM15",EOMONTH(E99,0)+15, G99="EM30",EOMONTH(E99,0)+30, G99="EM45",EOMONTH(E99,0)+45, G99="EM60",EOMONTH(E99,0)+60, G99="OA15",E99+15, G99="OA30",E99+30, G99="OA60",E99+60 )</f>
        <v>46187</v>
      </c>
      <c r="G99" s="2" t="s">
        <v>85</v>
      </c>
      <c r="H99" s="3">
        <v>62000</v>
      </c>
      <c r="I99" s="4">
        <f>INDEX(Customer_list!$G$2:$G$21,MATCH(B99,Customer_list!$B$2:$B$21,0))</f>
        <v>0.97</v>
      </c>
      <c r="J99" s="5" t="s">
        <v>28</v>
      </c>
      <c r="K99" s="6">
        <v>46188</v>
      </c>
      <c r="L99" s="6">
        <f>IF(J99="Collected",K99,IF(J99="Open",F99,F99+INDEX(Customer_list!$H$2:$H$21,MATCH(B99,Customer_list!$B$2:$B$21,0))*Weekly_Cash_Flow_Summary!$B$8))</f>
        <v>46188</v>
      </c>
      <c r="M99" s="7">
        <f>MIN(1,MAX(0,I99+Weekly_Cash_Flow_Summary!$B$7))</f>
        <v>0.97</v>
      </c>
    </row>
    <row r="100" spans="1:13" ht="15" customHeight="1" x14ac:dyDescent="0.2">
      <c r="A100" s="2" t="s">
        <v>174</v>
      </c>
      <c r="B100" s="2" t="s">
        <v>83</v>
      </c>
      <c r="C100" s="2" t="s">
        <v>84</v>
      </c>
      <c r="D100" s="2" t="s">
        <v>46</v>
      </c>
      <c r="E100" s="6">
        <v>46178</v>
      </c>
      <c r="F100" s="6">
        <f t="array" ref="F100">_xlfn.IFS(G100="EM15",EOMONTH(E100,0)+15, G100="EM30",EOMONTH(E100,0)+30, G100="EM45",EOMONTH(E100,0)+45, G100="EM60",EOMONTH(E100,0)+60, G100="OA15",E100+15, G100="OA30",E100+30, G100="OA60",E100+60 )</f>
        <v>46248</v>
      </c>
      <c r="G100" s="2" t="s">
        <v>85</v>
      </c>
      <c r="H100" s="3">
        <v>332000</v>
      </c>
      <c r="I100" s="4">
        <f>INDEX(Customer_list!$G$2:$G$21,MATCH(B100,Customer_list!$B$2:$B$21,0))</f>
        <v>0.75</v>
      </c>
      <c r="J100" s="5" t="s">
        <v>37</v>
      </c>
      <c r="K100" s="6"/>
      <c r="L100" s="6">
        <f>IF(J100="Collected",K100,IF(J100="Open",F100,F100+INDEX(Customer_list!$H$2:$H$21,MATCH(B100,Customer_list!$B$2:$B$21,0))*Weekly_Cash_Flow_Summary!$B$8))</f>
        <v>46248</v>
      </c>
      <c r="M100" s="7">
        <f>MIN(1,MAX(0,I100+Weekly_Cash_Flow_Summary!$B$7))</f>
        <v>0.75</v>
      </c>
    </row>
    <row r="101" spans="1:13" ht="15" customHeight="1" x14ac:dyDescent="0.2">
      <c r="A101" s="2" t="s">
        <v>175</v>
      </c>
      <c r="B101" s="2" t="s">
        <v>67</v>
      </c>
      <c r="C101" s="2" t="s">
        <v>68</v>
      </c>
      <c r="D101" s="2" t="s">
        <v>41</v>
      </c>
      <c r="E101" s="6">
        <v>46166</v>
      </c>
      <c r="F101" s="6">
        <f t="array" ref="F101">_xlfn.IFS(G101="EM15",EOMONTH(E101,0)+15, G101="EM30",EOMONTH(E101,0)+30, G101="EM45",EOMONTH(E101,0)+45, G101="EM60",EOMONTH(E101,0)+60, G101="OA15",E101+15, G101="OA30",E101+30, G101="OA60",E101+60 )</f>
        <v>46188</v>
      </c>
      <c r="G101" s="2" t="s">
        <v>69</v>
      </c>
      <c r="H101" s="3">
        <v>231500</v>
      </c>
      <c r="I101" s="4">
        <f>INDEX(Customer_list!$G$2:$G$21,MATCH(B101,Customer_list!$B$2:$B$21,0))</f>
        <v>0.9</v>
      </c>
      <c r="J101" s="5" t="s">
        <v>47</v>
      </c>
      <c r="K101" s="6"/>
      <c r="L101" s="6">
        <f>IF(J101="Collected",K101,IF(J101="Open",F101,F101+INDEX(Customer_list!$H$2:$H$21,MATCH(B101,Customer_list!$B$2:$B$21,0))*Weekly_Cash_Flow_Summary!$B$8))</f>
        <v>46198</v>
      </c>
      <c r="M101" s="7">
        <f>MIN(1,MAX(0,I101+Weekly_Cash_Flow_Summary!$B$7))</f>
        <v>0.9</v>
      </c>
    </row>
    <row r="102" spans="1:13" ht="15" customHeight="1" x14ac:dyDescent="0.2">
      <c r="A102" s="2" t="s">
        <v>176</v>
      </c>
      <c r="B102" s="2" t="s">
        <v>91</v>
      </c>
      <c r="C102" s="2" t="s">
        <v>92</v>
      </c>
      <c r="D102" s="2" t="s">
        <v>26</v>
      </c>
      <c r="E102" s="6">
        <v>46134</v>
      </c>
      <c r="F102" s="6">
        <f t="array" ref="F102">_xlfn.IFS(G102="EM15",EOMONTH(E102,0)+15, G102="EM30",EOMONTH(E102,0)+30, G102="EM45",EOMONTH(E102,0)+45, G102="EM60",EOMONTH(E102,0)+60, G102="OA15",E102+15, G102="OA30",E102+30, G102="OA60",E102+60 )</f>
        <v>46187</v>
      </c>
      <c r="G102" s="2" t="s">
        <v>85</v>
      </c>
      <c r="H102" s="3">
        <v>323500</v>
      </c>
      <c r="I102" s="4">
        <f>INDEX(Customer_list!$G$2:$G$21,MATCH(B102,Customer_list!$B$2:$B$21,0))</f>
        <v>0.97</v>
      </c>
      <c r="J102" s="5" t="s">
        <v>28</v>
      </c>
      <c r="K102" s="6">
        <v>46188</v>
      </c>
      <c r="L102" s="6">
        <f>IF(J102="Collected",K102,IF(J102="Open",F102,F102+INDEX(Customer_list!$H$2:$H$21,MATCH(B102,Customer_list!$B$2:$B$21,0))*Weekly_Cash_Flow_Summary!$B$8))</f>
        <v>46188</v>
      </c>
      <c r="M102" s="7">
        <f>MIN(1,MAX(0,I102+Weekly_Cash_Flow_Summary!$B$7))</f>
        <v>0.97</v>
      </c>
    </row>
    <row r="103" spans="1:13" ht="15" customHeight="1" x14ac:dyDescent="0.2">
      <c r="A103" s="2" t="s">
        <v>177</v>
      </c>
      <c r="B103" s="2" t="s">
        <v>137</v>
      </c>
      <c r="C103" s="2" t="s">
        <v>138</v>
      </c>
      <c r="D103" s="2" t="s">
        <v>41</v>
      </c>
      <c r="E103" s="6">
        <v>46209</v>
      </c>
      <c r="F103" s="6">
        <f t="array" ref="F103">_xlfn.IFS(G103="EM15",EOMONTH(E103,0)+15, G103="EM30",EOMONTH(E103,0)+30, G103="EM45",EOMONTH(E103,0)+45, G103="EM60",EOMONTH(E103,0)+60, G103="OA15",E103+15, G103="OA30",E103+30, G103="OA60",E103+60 )</f>
        <v>46279</v>
      </c>
      <c r="G103" s="2" t="s">
        <v>85</v>
      </c>
      <c r="H103" s="3">
        <v>240000</v>
      </c>
      <c r="I103" s="4">
        <f>INDEX(Customer_list!$G$2:$G$21,MATCH(B103,Customer_list!$B$2:$B$21,0))</f>
        <v>0.75</v>
      </c>
      <c r="J103" s="5" t="s">
        <v>37</v>
      </c>
      <c r="K103" s="6"/>
      <c r="L103" s="6">
        <f>IF(J103="Collected",K103,IF(J103="Open",F103,F103+INDEX(Customer_list!$H$2:$H$21,MATCH(B103,Customer_list!$B$2:$B$21,0))*Weekly_Cash_Flow_Summary!$B$8))</f>
        <v>46279</v>
      </c>
      <c r="M103" s="7">
        <f>MIN(1,MAX(0,I103+Weekly_Cash_Flow_Summary!$B$7))</f>
        <v>0.75</v>
      </c>
    </row>
    <row r="104" spans="1:13" ht="15" customHeight="1" x14ac:dyDescent="0.2">
      <c r="A104" s="2" t="s">
        <v>178</v>
      </c>
      <c r="B104" s="2" t="s">
        <v>53</v>
      </c>
      <c r="C104" s="2" t="s">
        <v>54</v>
      </c>
      <c r="D104" s="2" t="s">
        <v>46</v>
      </c>
      <c r="E104" s="6">
        <v>46156</v>
      </c>
      <c r="F104" s="6">
        <f t="array" ref="F104">_xlfn.IFS(G104="EM15",EOMONTH(E104,0)+15, G104="EM30",EOMONTH(E104,0)+30, G104="EM45",EOMONTH(E104,0)+45, G104="EM60",EOMONTH(E104,0)+60, G104="OA15",E104+15, G104="OA30",E104+30, G104="OA60",E104+60 )</f>
        <v>46233</v>
      </c>
      <c r="G104" s="2" t="s">
        <v>55</v>
      </c>
      <c r="H104" s="3">
        <v>186000</v>
      </c>
      <c r="I104" s="4">
        <f>INDEX(Customer_list!$G$2:$G$21,MATCH(B104,Customer_list!$B$2:$B$21,0))</f>
        <v>0.97</v>
      </c>
      <c r="J104" s="5" t="s">
        <v>37</v>
      </c>
      <c r="K104" s="6"/>
      <c r="L104" s="6">
        <f>IF(J104="Collected",K104,IF(J104="Open",F104,F104+INDEX(Customer_list!$H$2:$H$21,MATCH(B104,Customer_list!$B$2:$B$21,0))*Weekly_Cash_Flow_Summary!$B$8))</f>
        <v>46233</v>
      </c>
      <c r="M104" s="7">
        <f>MIN(1,MAX(0,I104+Weekly_Cash_Flow_Summary!$B$7))</f>
        <v>0.97</v>
      </c>
    </row>
    <row r="105" spans="1:13" ht="15" customHeight="1" x14ac:dyDescent="0.2">
      <c r="A105" s="2" t="s">
        <v>179</v>
      </c>
      <c r="B105" s="2" t="s">
        <v>49</v>
      </c>
      <c r="C105" s="2" t="s">
        <v>50</v>
      </c>
      <c r="D105" s="2" t="s">
        <v>41</v>
      </c>
      <c r="E105" s="6">
        <v>46132</v>
      </c>
      <c r="F105" s="6">
        <f t="array" ref="F105">_xlfn.IFS(G105="EM15",EOMONTH(E105,0)+15, G105="EM30",EOMONTH(E105,0)+30, G105="EM45",EOMONTH(E105,0)+45, G105="EM60",EOMONTH(E105,0)+60, G105="OA15",E105+15, G105="OA30",E105+30, G105="OA60",E105+60 )</f>
        <v>46162</v>
      </c>
      <c r="G105" s="2" t="s">
        <v>35</v>
      </c>
      <c r="H105" s="3">
        <v>184500</v>
      </c>
      <c r="I105" s="4">
        <f>INDEX(Customer_list!$G$2:$G$21,MATCH(B105,Customer_list!$B$2:$B$21,0))</f>
        <v>0.75</v>
      </c>
      <c r="J105" s="5" t="s">
        <v>28</v>
      </c>
      <c r="K105" s="6">
        <v>46183</v>
      </c>
      <c r="L105" s="6">
        <f>IF(J105="Collected",K105,IF(J105="Open",F105,F105+INDEX(Customer_list!$H$2:$H$21,MATCH(B105,Customer_list!$B$2:$B$21,0))*Weekly_Cash_Flow_Summary!$B$8))</f>
        <v>46183</v>
      </c>
      <c r="M105" s="7">
        <f>MIN(1,MAX(0,I105+Weekly_Cash_Flow_Summary!$B$7))</f>
        <v>0.75</v>
      </c>
    </row>
    <row r="106" spans="1:13" ht="15" customHeight="1" x14ac:dyDescent="0.2">
      <c r="A106" s="2" t="s">
        <v>180</v>
      </c>
      <c r="B106" s="2" t="s">
        <v>30</v>
      </c>
      <c r="C106" s="2" t="s">
        <v>31</v>
      </c>
      <c r="D106" s="2" t="s">
        <v>26</v>
      </c>
      <c r="E106" s="6">
        <v>46232</v>
      </c>
      <c r="F106" s="6">
        <f t="array" ref="F106">_xlfn.IFS(G106="EM15",EOMONTH(E106,0)+15, G106="EM30",EOMONTH(E106,0)+30, G106="EM45",EOMONTH(E106,0)+45, G106="EM60",EOMONTH(E106,0)+60, G106="OA15",E106+15, G106="OA30",E106+30, G106="OA60",E106+60 )</f>
        <v>46264</v>
      </c>
      <c r="G106" s="2" t="s">
        <v>27</v>
      </c>
      <c r="H106" s="3">
        <v>88500</v>
      </c>
      <c r="I106" s="4">
        <f>INDEX(Customer_list!$G$2:$G$21,MATCH(B106,Customer_list!$B$2:$B$21,0))</f>
        <v>0.9</v>
      </c>
      <c r="J106" s="5" t="s">
        <v>37</v>
      </c>
      <c r="K106" s="6"/>
      <c r="L106" s="6">
        <f>IF(J106="Collected",K106,IF(J106="Open",F106,F106+INDEX(Customer_list!$H$2:$H$21,MATCH(B106,Customer_list!$B$2:$B$21,0))*Weekly_Cash_Flow_Summary!$B$8))</f>
        <v>46264</v>
      </c>
      <c r="M106" s="7">
        <f>MIN(1,MAX(0,I106+Weekly_Cash_Flow_Summary!$B$7))</f>
        <v>0.9</v>
      </c>
    </row>
    <row r="107" spans="1:13" ht="15" customHeight="1" x14ac:dyDescent="0.2">
      <c r="A107" s="2" t="s">
        <v>181</v>
      </c>
      <c r="B107" s="2" t="s">
        <v>67</v>
      </c>
      <c r="C107" s="2" t="s">
        <v>68</v>
      </c>
      <c r="D107" s="2" t="s">
        <v>41</v>
      </c>
      <c r="E107" s="6">
        <v>46175</v>
      </c>
      <c r="F107" s="6">
        <f t="array" ref="F107">_xlfn.IFS(G107="EM15",EOMONTH(E107,0)+15, G107="EM30",EOMONTH(E107,0)+30, G107="EM45",EOMONTH(E107,0)+45, G107="EM60",EOMONTH(E107,0)+60, G107="OA15",E107+15, G107="OA30",E107+30, G107="OA60",E107+60 )</f>
        <v>46218</v>
      </c>
      <c r="G107" s="2" t="s">
        <v>69</v>
      </c>
      <c r="H107" s="3">
        <v>259500</v>
      </c>
      <c r="I107" s="4">
        <f>INDEX(Customer_list!$G$2:$G$21,MATCH(B107,Customer_list!$B$2:$B$21,0))</f>
        <v>0.9</v>
      </c>
      <c r="J107" s="5" t="s">
        <v>28</v>
      </c>
      <c r="K107" s="6">
        <v>46228</v>
      </c>
      <c r="L107" s="6">
        <f>IF(J107="Collected",K107,IF(J107="Open",F107,F107+INDEX(Customer_list!$H$2:$H$21,MATCH(B107,Customer_list!$B$2:$B$21,0))*Weekly_Cash_Flow_Summary!$B$8))</f>
        <v>46228</v>
      </c>
      <c r="M107" s="7">
        <f>MIN(1,MAX(0,I107+Weekly_Cash_Flow_Summary!$B$7))</f>
        <v>0.9</v>
      </c>
    </row>
    <row r="108" spans="1:13" ht="15" customHeight="1" x14ac:dyDescent="0.2">
      <c r="A108" s="2" t="s">
        <v>182</v>
      </c>
      <c r="B108" s="2" t="s">
        <v>44</v>
      </c>
      <c r="C108" s="2" t="s">
        <v>45</v>
      </c>
      <c r="D108" s="2" t="s">
        <v>46</v>
      </c>
      <c r="E108" s="6">
        <v>46166</v>
      </c>
      <c r="F108" s="6">
        <f t="array" ref="F108">_xlfn.IFS(G108="EM15",EOMONTH(E108,0)+15, G108="EM30",EOMONTH(E108,0)+30, G108="EM45",EOMONTH(E108,0)+45, G108="EM60",EOMONTH(E108,0)+60, G108="OA15",E108+15, G108="OA30",E108+30, G108="OA60",E108+60 )</f>
        <v>46196</v>
      </c>
      <c r="G108" s="2" t="s">
        <v>35</v>
      </c>
      <c r="H108" s="3">
        <v>25000</v>
      </c>
      <c r="I108" s="4">
        <f>INDEX(Customer_list!$G$2:$G$21,MATCH(B108,Customer_list!$B$2:$B$21,0))</f>
        <v>0.75</v>
      </c>
      <c r="J108" s="5" t="s">
        <v>28</v>
      </c>
      <c r="K108" s="6">
        <v>46228</v>
      </c>
      <c r="L108" s="6">
        <f>IF(J108="Collected",K108,IF(J108="Open",F108,F108+INDEX(Customer_list!$H$2:$H$21,MATCH(B108,Customer_list!$B$2:$B$21,0))*Weekly_Cash_Flow_Summary!$B$8))</f>
        <v>46228</v>
      </c>
      <c r="M108" s="7">
        <f>MIN(1,MAX(0,I108+Weekly_Cash_Flow_Summary!$B$7))</f>
        <v>0.75</v>
      </c>
    </row>
    <row r="109" spans="1:13" ht="15" customHeight="1" x14ac:dyDescent="0.2">
      <c r="A109" s="2" t="s">
        <v>183</v>
      </c>
      <c r="B109" s="2" t="s">
        <v>24</v>
      </c>
      <c r="C109" s="2" t="s">
        <v>25</v>
      </c>
      <c r="D109" s="2" t="s">
        <v>26</v>
      </c>
      <c r="E109" s="6">
        <v>46118</v>
      </c>
      <c r="F109" s="6">
        <f t="array" ref="F109">_xlfn.IFS(G109="EM15",EOMONTH(E109,0)+15, G109="EM30",EOMONTH(E109,0)+30, G109="EM45",EOMONTH(E109,0)+45, G109="EM60",EOMONTH(E109,0)+60, G109="OA15",E109+15, G109="OA30",E109+30, G109="OA60",E109+60 )</f>
        <v>46172</v>
      </c>
      <c r="G109" s="2" t="s">
        <v>27</v>
      </c>
      <c r="H109" s="3">
        <v>58500</v>
      </c>
      <c r="I109" s="4">
        <f>INDEX(Customer_list!$G$2:$G$21,MATCH(B109,Customer_list!$B$2:$B$21,0))</f>
        <v>0.97</v>
      </c>
      <c r="J109" s="5" t="s">
        <v>28</v>
      </c>
      <c r="K109" s="6">
        <v>46172</v>
      </c>
      <c r="L109" s="6">
        <f>IF(J109="Collected",K109,IF(J109="Open",F109,F109+INDEX(Customer_list!$H$2:$H$21,MATCH(B109,Customer_list!$B$2:$B$21,0))*Weekly_Cash_Flow_Summary!$B$8))</f>
        <v>46172</v>
      </c>
      <c r="M109" s="7">
        <f>MIN(1,MAX(0,I109+Weekly_Cash_Flow_Summary!$B$7))</f>
        <v>0.97</v>
      </c>
    </row>
    <row r="110" spans="1:13" ht="15" customHeight="1" x14ac:dyDescent="0.2">
      <c r="A110" s="2" t="s">
        <v>184</v>
      </c>
      <c r="B110" s="2" t="s">
        <v>76</v>
      </c>
      <c r="C110" s="2" t="s">
        <v>77</v>
      </c>
      <c r="D110" s="2" t="s">
        <v>26</v>
      </c>
      <c r="E110" s="6">
        <v>46198</v>
      </c>
      <c r="F110" s="6">
        <f t="array" ref="F110">_xlfn.IFS(G110="EM15",EOMONTH(E110,0)+15, G110="EM30",EOMONTH(E110,0)+30, G110="EM45",EOMONTH(E110,0)+45, G110="EM60",EOMONTH(E110,0)+60, G110="OA15",E110+15, G110="OA30",E110+30, G110="OA60",E110+60 )</f>
        <v>46228</v>
      </c>
      <c r="G110" s="2" t="s">
        <v>35</v>
      </c>
      <c r="H110" s="3">
        <v>159000</v>
      </c>
      <c r="I110" s="4">
        <f>INDEX(Customer_list!$G$2:$G$21,MATCH(B110,Customer_list!$B$2:$B$21,0))</f>
        <v>0.97</v>
      </c>
      <c r="J110" s="5" t="s">
        <v>47</v>
      </c>
      <c r="K110" s="6"/>
      <c r="L110" s="6">
        <f>IF(J110="Collected",K110,IF(J110="Open",F110,F110+INDEX(Customer_list!$H$2:$H$21,MATCH(B110,Customer_list!$B$2:$B$21,0))*Weekly_Cash_Flow_Summary!$B$8))</f>
        <v>46231</v>
      </c>
      <c r="M110" s="7">
        <f>MIN(1,MAX(0,I110+Weekly_Cash_Flow_Summary!$B$7))</f>
        <v>0.97</v>
      </c>
    </row>
    <row r="111" spans="1:13" ht="15" customHeight="1" x14ac:dyDescent="0.2">
      <c r="A111" s="2" t="s">
        <v>185</v>
      </c>
      <c r="B111" s="2" t="s">
        <v>58</v>
      </c>
      <c r="C111" s="2" t="s">
        <v>59</v>
      </c>
      <c r="D111" s="2" t="s">
        <v>41</v>
      </c>
      <c r="E111" s="6">
        <v>46122</v>
      </c>
      <c r="F111" s="6">
        <f t="array" ref="F111">_xlfn.IFS(G111="EM15",EOMONTH(E111,0)+15, G111="EM30",EOMONTH(E111,0)+30, G111="EM45",EOMONTH(E111,0)+45, G111="EM60",EOMONTH(E111,0)+60, G111="OA15",E111+15, G111="OA30",E111+30, G111="OA60",E111+60 )</f>
        <v>46152</v>
      </c>
      <c r="G111" s="2" t="s">
        <v>35</v>
      </c>
      <c r="H111" s="3">
        <v>89500</v>
      </c>
      <c r="I111" s="4">
        <f>INDEX(Customer_list!$G$2:$G$21,MATCH(B111,Customer_list!$B$2:$B$21,0))</f>
        <v>0.9</v>
      </c>
      <c r="J111" s="5" t="s">
        <v>28</v>
      </c>
      <c r="K111" s="6">
        <v>46157</v>
      </c>
      <c r="L111" s="6">
        <f>IF(J111="Collected",K111,IF(J111="Open",F111,F111+INDEX(Customer_list!$H$2:$H$21,MATCH(B111,Customer_list!$B$2:$B$21,0))*Weekly_Cash_Flow_Summary!$B$8))</f>
        <v>46157</v>
      </c>
      <c r="M111" s="7">
        <f>MIN(1,MAX(0,I111+Weekly_Cash_Flow_Summary!$B$7))</f>
        <v>0.9</v>
      </c>
    </row>
    <row r="112" spans="1:13" ht="15" customHeight="1" x14ac:dyDescent="0.2">
      <c r="A112" s="2" t="s">
        <v>186</v>
      </c>
      <c r="B112" s="2" t="s">
        <v>63</v>
      </c>
      <c r="C112" s="2" t="s">
        <v>64</v>
      </c>
      <c r="D112" s="2" t="s">
        <v>41</v>
      </c>
      <c r="E112" s="6">
        <v>46210</v>
      </c>
      <c r="F112" s="6">
        <f t="array" ref="F112">_xlfn.IFS(G112="EM15",EOMONTH(E112,0)+15, G112="EM30",EOMONTH(E112,0)+30, G112="EM45",EOMONTH(E112,0)+45, G112="EM60",EOMONTH(E112,0)+60, G112="OA15",E112+15, G112="OA30",E112+30, G112="OA60",E112+60 )</f>
        <v>46270</v>
      </c>
      <c r="G112" s="2" t="s">
        <v>65</v>
      </c>
      <c r="H112" s="3">
        <v>56000</v>
      </c>
      <c r="I112" s="4">
        <f>INDEX(Customer_list!$G$2:$G$21,MATCH(B112,Customer_list!$B$2:$B$21,0))</f>
        <v>0.9</v>
      </c>
      <c r="J112" s="5" t="s">
        <v>37</v>
      </c>
      <c r="K112" s="6"/>
      <c r="L112" s="6">
        <f>IF(J112="Collected",K112,IF(J112="Open",F112,F112+INDEX(Customer_list!$H$2:$H$21,MATCH(B112,Customer_list!$B$2:$B$21,0))*Weekly_Cash_Flow_Summary!$B$8))</f>
        <v>46270</v>
      </c>
      <c r="M112" s="7">
        <f>MIN(1,MAX(0,I112+Weekly_Cash_Flow_Summary!$B$7))</f>
        <v>0.9</v>
      </c>
    </row>
    <row r="113" spans="1:13" ht="15" customHeight="1" x14ac:dyDescent="0.2">
      <c r="A113" s="2" t="s">
        <v>187</v>
      </c>
      <c r="B113" s="2" t="s">
        <v>91</v>
      </c>
      <c r="C113" s="2" t="s">
        <v>92</v>
      </c>
      <c r="D113" s="2" t="s">
        <v>26</v>
      </c>
      <c r="E113" s="6">
        <v>46184</v>
      </c>
      <c r="F113" s="6">
        <f t="array" ref="F113">_xlfn.IFS(G113="EM15",EOMONTH(E113,0)+15, G113="EM30",EOMONTH(E113,0)+30, G113="EM45",EOMONTH(E113,0)+45, G113="EM60",EOMONTH(E113,0)+60, G113="OA15",E113+15, G113="OA30",E113+30, G113="OA60",E113+60 )</f>
        <v>46248</v>
      </c>
      <c r="G113" s="2" t="s">
        <v>85</v>
      </c>
      <c r="H113" s="3">
        <v>169500</v>
      </c>
      <c r="I113" s="4">
        <f>INDEX(Customer_list!$G$2:$G$21,MATCH(B113,Customer_list!$B$2:$B$21,0))</f>
        <v>0.97</v>
      </c>
      <c r="J113" s="5" t="s">
        <v>37</v>
      </c>
      <c r="K113" s="6"/>
      <c r="L113" s="6">
        <f>IF(J113="Collected",K113,IF(J113="Open",F113,F113+INDEX(Customer_list!$H$2:$H$21,MATCH(B113,Customer_list!$B$2:$B$21,0))*Weekly_Cash_Flow_Summary!$B$8))</f>
        <v>46248</v>
      </c>
      <c r="M113" s="7">
        <f>MIN(1,MAX(0,I113+Weekly_Cash_Flow_Summary!$B$7))</f>
        <v>0.97</v>
      </c>
    </row>
    <row r="114" spans="1:13" ht="15" customHeight="1" x14ac:dyDescent="0.2">
      <c r="A114" s="2" t="s">
        <v>188</v>
      </c>
      <c r="B114" s="2" t="s">
        <v>33</v>
      </c>
      <c r="C114" s="2" t="s">
        <v>34</v>
      </c>
      <c r="D114" s="2" t="s">
        <v>26</v>
      </c>
      <c r="E114" s="6">
        <v>46186</v>
      </c>
      <c r="F114" s="6">
        <f t="array" ref="F114">_xlfn.IFS(G114="EM15",EOMONTH(E114,0)+15, G114="EM30",EOMONTH(E114,0)+30, G114="EM45",EOMONTH(E114,0)+45, G114="EM60",EOMONTH(E114,0)+60, G114="OA15",E114+15, G114="OA30",E114+30, G114="OA60",E114+60 )</f>
        <v>46216</v>
      </c>
      <c r="G114" s="2" t="s">
        <v>35</v>
      </c>
      <c r="H114" s="3">
        <v>178500</v>
      </c>
      <c r="I114" s="4">
        <f>INDEX(Customer_list!$G$2:$G$21,MATCH(B114,Customer_list!$B$2:$B$21,0))</f>
        <v>0.97</v>
      </c>
      <c r="J114" s="5" t="s">
        <v>28</v>
      </c>
      <c r="K114" s="6">
        <v>46223</v>
      </c>
      <c r="L114" s="6">
        <f>IF(J114="Collected",K114,IF(J114="Open",F114,F114+INDEX(Customer_list!$H$2:$H$21,MATCH(B114,Customer_list!$B$2:$B$21,0))*Weekly_Cash_Flow_Summary!$B$8))</f>
        <v>46223</v>
      </c>
      <c r="M114" s="7">
        <f>MIN(1,MAX(0,I114+Weekly_Cash_Flow_Summary!$B$7))</f>
        <v>0.97</v>
      </c>
    </row>
    <row r="115" spans="1:13" ht="15" customHeight="1" x14ac:dyDescent="0.2">
      <c r="A115" s="2" t="s">
        <v>189</v>
      </c>
      <c r="B115" s="2" t="s">
        <v>76</v>
      </c>
      <c r="C115" s="2" t="s">
        <v>77</v>
      </c>
      <c r="D115" s="2" t="s">
        <v>26</v>
      </c>
      <c r="E115" s="6">
        <v>46214</v>
      </c>
      <c r="F115" s="6">
        <f t="array" ref="F115">_xlfn.IFS(G115="EM15",EOMONTH(E115,0)+15, G115="EM30",EOMONTH(E115,0)+30, G115="EM45",EOMONTH(E115,0)+45, G115="EM60",EOMONTH(E115,0)+60, G115="OA15",E115+15, G115="OA30",E115+30, G115="OA60",E115+60 )</f>
        <v>46244</v>
      </c>
      <c r="G115" s="2" t="s">
        <v>35</v>
      </c>
      <c r="H115" s="3">
        <v>24000</v>
      </c>
      <c r="I115" s="4">
        <f>INDEX(Customer_list!$G$2:$G$21,MATCH(B115,Customer_list!$B$2:$B$21,0))</f>
        <v>0.97</v>
      </c>
      <c r="J115" s="5" t="s">
        <v>37</v>
      </c>
      <c r="K115" s="6"/>
      <c r="L115" s="6">
        <f>IF(J115="Collected",K115,IF(J115="Open",F115,F115+INDEX(Customer_list!$H$2:$H$21,MATCH(B115,Customer_list!$B$2:$B$21,0))*Weekly_Cash_Flow_Summary!$B$8))</f>
        <v>46244</v>
      </c>
      <c r="M115" s="7">
        <f>MIN(1,MAX(0,I115+Weekly_Cash_Flow_Summary!$B$7))</f>
        <v>0.97</v>
      </c>
    </row>
    <row r="116" spans="1:13" ht="15" customHeight="1" x14ac:dyDescent="0.2">
      <c r="A116" s="2" t="s">
        <v>190</v>
      </c>
      <c r="B116" s="2" t="s">
        <v>83</v>
      </c>
      <c r="C116" s="2" t="s">
        <v>84</v>
      </c>
      <c r="D116" s="2" t="s">
        <v>46</v>
      </c>
      <c r="E116" s="6">
        <v>46225</v>
      </c>
      <c r="F116" s="6">
        <f t="array" ref="F116">_xlfn.IFS(G116="EM15",EOMONTH(E116,0)+15, G116="EM30",EOMONTH(E116,0)+30, G116="EM45",EOMONTH(E116,0)+45, G116="EM60",EOMONTH(E116,0)+60, G116="OA15",E116+15, G116="OA30",E116+30, G116="OA60",E116+60 )</f>
        <v>46279</v>
      </c>
      <c r="G116" s="2" t="s">
        <v>85</v>
      </c>
      <c r="H116" s="3">
        <v>177000</v>
      </c>
      <c r="I116" s="4">
        <f>INDEX(Customer_list!$G$2:$G$21,MATCH(B116,Customer_list!$B$2:$B$21,0))</f>
        <v>0.75</v>
      </c>
      <c r="J116" s="5" t="s">
        <v>37</v>
      </c>
      <c r="K116" s="6"/>
      <c r="L116" s="6">
        <f>IF(J116="Collected",K116,IF(J116="Open",F116,F116+INDEX(Customer_list!$H$2:$H$21,MATCH(B116,Customer_list!$B$2:$B$21,0))*Weekly_Cash_Flow_Summary!$B$8))</f>
        <v>46279</v>
      </c>
      <c r="M116" s="7">
        <f>MIN(1,MAX(0,I116+Weekly_Cash_Flow_Summary!$B$7))</f>
        <v>0.75</v>
      </c>
    </row>
    <row r="117" spans="1:13" ht="15" customHeight="1" x14ac:dyDescent="0.2">
      <c r="A117" s="2" t="s">
        <v>191</v>
      </c>
      <c r="B117" s="2" t="s">
        <v>49</v>
      </c>
      <c r="C117" s="2" t="s">
        <v>50</v>
      </c>
      <c r="D117" s="2" t="s">
        <v>41</v>
      </c>
      <c r="E117" s="6">
        <v>46217</v>
      </c>
      <c r="F117" s="6">
        <f t="array" ref="F117">_xlfn.IFS(G117="EM15",EOMONTH(E117,0)+15, G117="EM30",EOMONTH(E117,0)+30, G117="EM45",EOMONTH(E117,0)+45, G117="EM60",EOMONTH(E117,0)+60, G117="OA15",E117+15, G117="OA30",E117+30, G117="OA60",E117+60 )</f>
        <v>46247</v>
      </c>
      <c r="G117" s="2" t="s">
        <v>35</v>
      </c>
      <c r="H117" s="3">
        <v>74500</v>
      </c>
      <c r="I117" s="4">
        <f>INDEX(Customer_list!$G$2:$G$21,MATCH(B117,Customer_list!$B$2:$B$21,0))</f>
        <v>0.75</v>
      </c>
      <c r="J117" s="5" t="s">
        <v>37</v>
      </c>
      <c r="K117" s="6"/>
      <c r="L117" s="6">
        <f>IF(J117="Collected",K117,IF(J117="Open",F117,F117+INDEX(Customer_list!$H$2:$H$21,MATCH(B117,Customer_list!$B$2:$B$21,0))*Weekly_Cash_Flow_Summary!$B$8))</f>
        <v>46247</v>
      </c>
      <c r="M117" s="7">
        <f>MIN(1,MAX(0,I117+Weekly_Cash_Flow_Summary!$B$7))</f>
        <v>0.75</v>
      </c>
    </row>
    <row r="118" spans="1:13" ht="15" customHeight="1" x14ac:dyDescent="0.2">
      <c r="A118" s="2" t="s">
        <v>192</v>
      </c>
      <c r="B118" s="2" t="s">
        <v>53</v>
      </c>
      <c r="C118" s="2" t="s">
        <v>54</v>
      </c>
      <c r="D118" s="2" t="s">
        <v>46</v>
      </c>
      <c r="E118" s="6">
        <v>46153</v>
      </c>
      <c r="F118" s="6">
        <f t="array" ref="F118">_xlfn.IFS(G118="EM15",EOMONTH(E118,0)+15, G118="EM30",EOMONTH(E118,0)+30, G118="EM45",EOMONTH(E118,0)+45, G118="EM60",EOMONTH(E118,0)+60, G118="OA15",E118+15, G118="OA30",E118+30, G118="OA60",E118+60 )</f>
        <v>46233</v>
      </c>
      <c r="G118" s="2" t="s">
        <v>55</v>
      </c>
      <c r="H118" s="3">
        <v>90500</v>
      </c>
      <c r="I118" s="4">
        <f>INDEX(Customer_list!$G$2:$G$21,MATCH(B118,Customer_list!$B$2:$B$21,0))</f>
        <v>0.97</v>
      </c>
      <c r="J118" s="5" t="s">
        <v>37</v>
      </c>
      <c r="K118" s="6"/>
      <c r="L118" s="6">
        <f>IF(J118="Collected",K118,IF(J118="Open",F118,F118+INDEX(Customer_list!$H$2:$H$21,MATCH(B118,Customer_list!$B$2:$B$21,0))*Weekly_Cash_Flow_Summary!$B$8))</f>
        <v>46233</v>
      </c>
      <c r="M118" s="7">
        <f>MIN(1,MAX(0,I118+Weekly_Cash_Flow_Summary!$B$7))</f>
        <v>0.97</v>
      </c>
    </row>
    <row r="119" spans="1:13" ht="15" customHeight="1" x14ac:dyDescent="0.2">
      <c r="A119" s="2" t="s">
        <v>193</v>
      </c>
      <c r="B119" s="2" t="s">
        <v>94</v>
      </c>
      <c r="C119" s="2" t="s">
        <v>95</v>
      </c>
      <c r="D119" s="2" t="s">
        <v>41</v>
      </c>
      <c r="E119" s="6">
        <v>46156</v>
      </c>
      <c r="F119" s="6">
        <f t="array" ref="F119">_xlfn.IFS(G119="EM15",EOMONTH(E119,0)+15, G119="EM30",EOMONTH(E119,0)+30, G119="EM45",EOMONTH(E119,0)+45, G119="EM60",EOMONTH(E119,0)+60, G119="OA15",E119+15, G119="OA30",E119+30, G119="OA60",E119+60 )</f>
        <v>46233</v>
      </c>
      <c r="G119" s="2" t="s">
        <v>55</v>
      </c>
      <c r="H119" s="3">
        <v>310000</v>
      </c>
      <c r="I119" s="4">
        <f>INDEX(Customer_list!$G$2:$G$21,MATCH(B119,Customer_list!$B$2:$B$21,0))</f>
        <v>0.9</v>
      </c>
      <c r="J119" s="5" t="s">
        <v>37</v>
      </c>
      <c r="K119" s="6"/>
      <c r="L119" s="6">
        <f>IF(J119="Collected",K119,IF(J119="Open",F119,F119+INDEX(Customer_list!$H$2:$H$21,MATCH(B119,Customer_list!$B$2:$B$21,0))*Weekly_Cash_Flow_Summary!$B$8))</f>
        <v>46233</v>
      </c>
      <c r="M119" s="7">
        <f>MIN(1,MAX(0,I119+Weekly_Cash_Flow_Summary!$B$7))</f>
        <v>0.9</v>
      </c>
    </row>
    <row r="120" spans="1:13" ht="15" customHeight="1" x14ac:dyDescent="0.2">
      <c r="A120" s="2" t="s">
        <v>194</v>
      </c>
      <c r="B120" s="2" t="s">
        <v>76</v>
      </c>
      <c r="C120" s="2" t="s">
        <v>77</v>
      </c>
      <c r="D120" s="2" t="s">
        <v>26</v>
      </c>
      <c r="E120" s="6">
        <v>46201</v>
      </c>
      <c r="F120" s="6">
        <f t="array" ref="F120">_xlfn.IFS(G120="EM15",EOMONTH(E120,0)+15, G120="EM30",EOMONTH(E120,0)+30, G120="EM45",EOMONTH(E120,0)+45, G120="EM60",EOMONTH(E120,0)+60, G120="OA15",E120+15, G120="OA30",E120+30, G120="OA60",E120+60 )</f>
        <v>46231</v>
      </c>
      <c r="G120" s="2" t="s">
        <v>35</v>
      </c>
      <c r="H120" s="3">
        <v>337000</v>
      </c>
      <c r="I120" s="4">
        <f>INDEX(Customer_list!$G$2:$G$21,MATCH(B120,Customer_list!$B$2:$B$21,0))</f>
        <v>0.97</v>
      </c>
      <c r="J120" s="5" t="s">
        <v>47</v>
      </c>
      <c r="K120" s="6"/>
      <c r="L120" s="6">
        <f>IF(J120="Collected",K120,IF(J120="Open",F120,F120+INDEX(Customer_list!$H$2:$H$21,MATCH(B120,Customer_list!$B$2:$B$21,0))*Weekly_Cash_Flow_Summary!$B$8))</f>
        <v>46234</v>
      </c>
      <c r="M120" s="7">
        <f>MIN(1,MAX(0,I120+Weekly_Cash_Flow_Summary!$B$7))</f>
        <v>0.97</v>
      </c>
    </row>
    <row r="121" spans="1:13" ht="15" customHeight="1" x14ac:dyDescent="0.2">
      <c r="A121" s="2" t="s">
        <v>195</v>
      </c>
      <c r="B121" s="2" t="s">
        <v>94</v>
      </c>
      <c r="C121" s="2" t="s">
        <v>95</v>
      </c>
      <c r="D121" s="2" t="s">
        <v>41</v>
      </c>
      <c r="E121" s="6">
        <v>46157</v>
      </c>
      <c r="F121" s="6">
        <f t="array" ref="F121">_xlfn.IFS(G121="EM15",EOMONTH(E121,0)+15, G121="EM30",EOMONTH(E121,0)+30, G121="EM45",EOMONTH(E121,0)+45, G121="EM60",EOMONTH(E121,0)+60, G121="OA15",E121+15, G121="OA30",E121+30, G121="OA60",E121+60 )</f>
        <v>46233</v>
      </c>
      <c r="G121" s="2" t="s">
        <v>55</v>
      </c>
      <c r="H121" s="3">
        <v>126500</v>
      </c>
      <c r="I121" s="4">
        <f>INDEX(Customer_list!$G$2:$G$21,MATCH(B121,Customer_list!$B$2:$B$21,0))</f>
        <v>0.9</v>
      </c>
      <c r="J121" s="5" t="s">
        <v>37</v>
      </c>
      <c r="K121" s="6"/>
      <c r="L121" s="6">
        <f>IF(J121="Collected",K121,IF(J121="Open",F121,F121+INDEX(Customer_list!$H$2:$H$21,MATCH(B121,Customer_list!$B$2:$B$21,0))*Weekly_Cash_Flow_Summary!$B$8))</f>
        <v>46233</v>
      </c>
      <c r="M121" s="7">
        <f>MIN(1,MAX(0,I121+Weekly_Cash_Flow_Summary!$B$7))</f>
        <v>0.9</v>
      </c>
    </row>
  </sheetData>
  <autoFilter ref="A1:M12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L101"/>
  <sheetViews>
    <sheetView zoomScaleNormal="100" workbookViewId="0">
      <selection activeCell="E27" sqref="E27"/>
    </sheetView>
  </sheetViews>
  <sheetFormatPr baseColWidth="10" defaultColWidth="8.6640625" defaultRowHeight="15" x14ac:dyDescent="0.2"/>
  <cols>
    <col min="1" max="1" width="10.5" bestFit="1" customWidth="1"/>
    <col min="2" max="2" width="12.33203125" bestFit="1" customWidth="1"/>
    <col min="3" max="3" width="25" bestFit="1" customWidth="1"/>
    <col min="4" max="4" width="10.33203125" bestFit="1" customWidth="1"/>
    <col min="5" max="6" width="19" style="29" bestFit="1" customWidth="1"/>
    <col min="7" max="7" width="14" bestFit="1" customWidth="1"/>
    <col min="9" max="9" width="7.6640625" bestFit="1" customWidth="1"/>
    <col min="10" max="10" width="7.83203125" bestFit="1" customWidth="1"/>
    <col min="11" max="11" width="19" bestFit="1" customWidth="1"/>
    <col min="12" max="12" width="20.6640625" bestFit="1" customWidth="1"/>
  </cols>
  <sheetData>
    <row r="1" spans="1:12" ht="15" customHeight="1" x14ac:dyDescent="0.2">
      <c r="A1" s="2" t="s">
        <v>204</v>
      </c>
      <c r="B1" s="2" t="s">
        <v>206</v>
      </c>
      <c r="C1" s="2" t="s">
        <v>205</v>
      </c>
      <c r="D1" s="2" t="s">
        <v>13</v>
      </c>
      <c r="E1" s="27" t="s">
        <v>207</v>
      </c>
      <c r="F1" s="27" t="s">
        <v>15</v>
      </c>
      <c r="G1" s="2" t="s">
        <v>16</v>
      </c>
      <c r="H1" s="2" t="s">
        <v>17</v>
      </c>
      <c r="I1" s="2" t="s">
        <v>208</v>
      </c>
      <c r="J1" s="2" t="s">
        <v>19</v>
      </c>
      <c r="K1" s="2" t="s">
        <v>209</v>
      </c>
      <c r="L1" s="25" t="s">
        <v>210</v>
      </c>
    </row>
    <row r="2" spans="1:12" ht="15" customHeight="1" x14ac:dyDescent="0.2">
      <c r="A2" s="2" t="s">
        <v>211</v>
      </c>
      <c r="B2" s="2" t="str">
        <f>VLOOKUP(C2,Vendor_list!A:D,2,0)</f>
        <v>V00002</v>
      </c>
      <c r="C2" s="2" t="s">
        <v>212</v>
      </c>
      <c r="D2" s="2" t="str">
        <f>VLOOKUP(C2,Vendor_list!A:D,4,0)</f>
        <v>C</v>
      </c>
      <c r="E2" s="28">
        <v>46124</v>
      </c>
      <c r="F2" s="28">
        <f t="array" ref="F2">_xlfn.IFS(G2="EM15",EOMONTH(E2,0)+15, G2="EM30",EOMONTH(E2,0)+30, G2="EM45",EOMONTH(E2,0)+45, G2="EM60",EOMONTH(E2,0)+60, G2="EM90",EOMONTH(E2,0)+90, G2="OA15",E2+15, G2="OA30",E2+30, G2="OA60",E2+60)</f>
        <v>46232</v>
      </c>
      <c r="G2" s="2" t="str">
        <f>VLOOKUP(C2,Vendor_list!A:D,3,0)</f>
        <v>EM90</v>
      </c>
      <c r="H2" s="3">
        <v>223500</v>
      </c>
      <c r="I2" s="4" t="s">
        <v>213</v>
      </c>
      <c r="J2" s="5" t="s">
        <v>47</v>
      </c>
      <c r="K2" s="5"/>
      <c r="L2" s="6">
        <f>IF(J2="Paid",K2,IF(J2="Open",F2,F2+INDEX(Vendor_list!$F$2:$F$16,MATCH(B2,Vendor_list!$B$2:$B$16,0))*Weekly_Cash_Flow_Summary!$B$9))</f>
        <v>46234</v>
      </c>
    </row>
    <row r="3" spans="1:12" ht="15" customHeight="1" x14ac:dyDescent="0.2">
      <c r="A3" s="2" t="s">
        <v>214</v>
      </c>
      <c r="B3" s="2" t="str">
        <f>VLOOKUP(C3,Vendor_list!A:D,2,0)</f>
        <v>V00011</v>
      </c>
      <c r="C3" s="2" t="s">
        <v>215</v>
      </c>
      <c r="D3" s="2" t="str">
        <f>VLOOKUP(C3,Vendor_list!A:D,4,0)</f>
        <v>C</v>
      </c>
      <c r="E3" s="28">
        <v>46138</v>
      </c>
      <c r="F3" s="28">
        <f t="array" ref="F3">_xlfn.IFS(G3="EM15",EOMONTH(E3,0)+15, G3="EM30",EOMONTH(E3,0)+30, G3="EM45",EOMONTH(E3,0)+45, G3="EM60",EOMONTH(E3,0)+60, G3="EM90",EOMONTH(E3,0)+90, G3="OA15",E3+15, G3="OA30",E3+30, G3="OA60",E3+60)</f>
        <v>46232</v>
      </c>
      <c r="G3" s="2" t="str">
        <f>VLOOKUP(C3,Vendor_list!A:D,3,0)</f>
        <v>EM90</v>
      </c>
      <c r="H3" s="3">
        <v>189500</v>
      </c>
      <c r="I3" s="4" t="s">
        <v>213</v>
      </c>
      <c r="J3" s="5" t="s">
        <v>47</v>
      </c>
      <c r="K3" s="5"/>
      <c r="L3" s="6">
        <f>IF(J3="Paid",K3,IF(J3="Open",F3,F3+INDEX(Vendor_list!$F$2:$F$16,MATCH(B3,Vendor_list!$B$2:$B$16,0))*Weekly_Cash_Flow_Summary!$B$9))</f>
        <v>46234</v>
      </c>
    </row>
    <row r="4" spans="1:12" ht="15" customHeight="1" x14ac:dyDescent="0.2">
      <c r="A4" s="2" t="s">
        <v>216</v>
      </c>
      <c r="B4" s="2" t="str">
        <f>VLOOKUP(C4,Vendor_list!A:D,2,0)</f>
        <v>V00003</v>
      </c>
      <c r="C4" s="2" t="s">
        <v>217</v>
      </c>
      <c r="D4" s="2" t="str">
        <f>VLOOKUP(C4,Vendor_list!A:D,4,0)</f>
        <v>C</v>
      </c>
      <c r="E4" s="28">
        <v>46132</v>
      </c>
      <c r="F4" s="28">
        <f t="array" ref="F4">_xlfn.IFS(G4="EM15",EOMONTH(E4,0)+15, G4="EM30",EOMONTH(E4,0)+30, G4="EM45",EOMONTH(E4,0)+45, G4="EM60",EOMONTH(E4,0)+60, G4="EM90",EOMONTH(E4,0)+90, G4="OA15",E4+15, G4="OA30",E4+30, G4="OA60",E4+60)</f>
        <v>46162</v>
      </c>
      <c r="G4" s="2" t="str">
        <f>VLOOKUP(C4,Vendor_list!A:D,3,0)</f>
        <v>OA30</v>
      </c>
      <c r="H4" s="3">
        <v>22500</v>
      </c>
      <c r="I4" s="4" t="s">
        <v>218</v>
      </c>
      <c r="J4" s="5" t="s">
        <v>219</v>
      </c>
      <c r="K4" s="8">
        <v>46167</v>
      </c>
      <c r="L4" s="6">
        <f>IF(J4="Paid",K4,IF(J4="Open",F4,F4+INDEX(Vendor_list!$F$2:$F$16,MATCH(B4,Vendor_list!$B$2:$B$16,0))*Weekly_Cash_Flow_Summary!$B$9))</f>
        <v>46167</v>
      </c>
    </row>
    <row r="5" spans="1:12" ht="15" customHeight="1" x14ac:dyDescent="0.2">
      <c r="A5" s="2" t="s">
        <v>220</v>
      </c>
      <c r="B5" s="2" t="str">
        <f>VLOOKUP(C5,Vendor_list!A:D,2,0)</f>
        <v>V00007</v>
      </c>
      <c r="C5" s="2" t="s">
        <v>221</v>
      </c>
      <c r="D5" s="2" t="str">
        <f>VLOOKUP(C5,Vendor_list!A:D,4,0)</f>
        <v>A</v>
      </c>
      <c r="E5" s="28">
        <v>46207</v>
      </c>
      <c r="F5" s="28">
        <f t="array" ref="F5">_xlfn.IFS(G5="EM15",EOMONTH(E5,0)+15, G5="EM30",EOMONTH(E5,0)+30, G5="EM45",EOMONTH(E5,0)+45, G5="EM60",EOMONTH(E5,0)+60, G5="EM90",EOMONTH(E5,0)+90, G5="OA15",E5+15, G5="OA30",E5+30, G5="OA60",E5+60)</f>
        <v>46222</v>
      </c>
      <c r="G5" s="2" t="str">
        <f>VLOOKUP(C5,Vendor_list!A:D,3,0)</f>
        <v>OA15</v>
      </c>
      <c r="H5" s="3">
        <v>19000</v>
      </c>
      <c r="I5" s="4" t="s">
        <v>213</v>
      </c>
      <c r="J5" s="5" t="s">
        <v>219</v>
      </c>
      <c r="K5" s="8">
        <v>46228</v>
      </c>
      <c r="L5" s="6">
        <f>IF(J5="Paid",K5,IF(J5="Open",F5,F5+INDEX(Vendor_list!$F$2:$F$16,MATCH(B5,Vendor_list!$B$2:$B$16,0))*Weekly_Cash_Flow_Summary!$B$9))</f>
        <v>46228</v>
      </c>
    </row>
    <row r="6" spans="1:12" ht="15" customHeight="1" x14ac:dyDescent="0.2">
      <c r="A6" s="2" t="s">
        <v>222</v>
      </c>
      <c r="B6" s="2" t="str">
        <f>VLOOKUP(C6,Vendor_list!A:D,2,0)</f>
        <v>V00003</v>
      </c>
      <c r="C6" s="2" t="s">
        <v>217</v>
      </c>
      <c r="D6" s="2" t="str">
        <f>VLOOKUP(C6,Vendor_list!A:D,4,0)</f>
        <v>C</v>
      </c>
      <c r="E6" s="28">
        <v>46151</v>
      </c>
      <c r="F6" s="28">
        <f t="array" ref="F6">_xlfn.IFS(G6="EM15",EOMONTH(E6,0)+15, G6="EM30",EOMONTH(E6,0)+30, G6="EM45",EOMONTH(E6,0)+45, G6="EM60",EOMONTH(E6,0)+60, G6="EM90",EOMONTH(E6,0)+90, G6="OA15",E6+15, G6="OA30",E6+30, G6="OA60",E6+60)</f>
        <v>46181</v>
      </c>
      <c r="G6" s="2" t="str">
        <f>VLOOKUP(C6,Vendor_list!A:D,3,0)</f>
        <v>OA30</v>
      </c>
      <c r="H6" s="3">
        <v>258500</v>
      </c>
      <c r="I6" s="4" t="s">
        <v>218</v>
      </c>
      <c r="J6" s="5" t="s">
        <v>219</v>
      </c>
      <c r="K6" s="8">
        <v>46198</v>
      </c>
      <c r="L6" s="6">
        <f>IF(J6="Paid",K6,IF(J6="Open",F6,F6+INDEX(Vendor_list!$F$2:$F$16,MATCH(B6,Vendor_list!$B$2:$B$16,0))*Weekly_Cash_Flow_Summary!$B$9))</f>
        <v>46198</v>
      </c>
    </row>
    <row r="7" spans="1:12" ht="15" customHeight="1" x14ac:dyDescent="0.2">
      <c r="A7" s="2" t="s">
        <v>223</v>
      </c>
      <c r="B7" s="2" t="str">
        <f>VLOOKUP(C7,Vendor_list!A:D,2,0)</f>
        <v>V00012</v>
      </c>
      <c r="C7" s="2" t="s">
        <v>224</v>
      </c>
      <c r="D7" s="2" t="str">
        <f>VLOOKUP(C7,Vendor_list!A:D,4,0)</f>
        <v>B</v>
      </c>
      <c r="E7" s="28">
        <v>46220</v>
      </c>
      <c r="F7" s="28">
        <f t="array" ref="F7">_xlfn.IFS(G7="EM15",EOMONTH(E7,0)+15, G7="EM30",EOMONTH(E7,0)+30, G7="EM45",EOMONTH(E7,0)+45, G7="EM60",EOMONTH(E7,0)+60, G7="EM90",EOMONTH(E7,0)+90, G7="OA15",E7+15, G7="OA30",E7+30, G7="OA60",E7+60)</f>
        <v>46235</v>
      </c>
      <c r="G7" s="2" t="str">
        <f>VLOOKUP(C7,Vendor_list!A:D,3,0)</f>
        <v>OA15</v>
      </c>
      <c r="H7" s="3">
        <v>79000</v>
      </c>
      <c r="I7" s="4" t="s">
        <v>225</v>
      </c>
      <c r="J7" s="5" t="s">
        <v>37</v>
      </c>
      <c r="K7" s="5"/>
      <c r="L7" s="6">
        <f>IF(J7="Paid",K7,IF(J7="Open",F7,F7+INDEX(Vendor_list!$F$2:$F$16,MATCH(B7,Vendor_list!$B$2:$B$16,0))*Weekly_Cash_Flow_Summary!$B$9))</f>
        <v>46235</v>
      </c>
    </row>
    <row r="8" spans="1:12" ht="15" customHeight="1" x14ac:dyDescent="0.2">
      <c r="A8" s="2" t="s">
        <v>226</v>
      </c>
      <c r="B8" s="2" t="str">
        <f>VLOOKUP(C8,Vendor_list!A:D,2,0)</f>
        <v>V00014</v>
      </c>
      <c r="C8" s="2" t="s">
        <v>227</v>
      </c>
      <c r="D8" s="2" t="str">
        <f>VLOOKUP(C8,Vendor_list!A:D,4,0)</f>
        <v>C</v>
      </c>
      <c r="E8" s="28">
        <v>46123</v>
      </c>
      <c r="F8" s="28">
        <f t="array" ref="F8">_xlfn.IFS(G8="EM15",EOMONTH(E8,0)+15, G8="EM30",EOMONTH(E8,0)+30, G8="EM45",EOMONTH(E8,0)+45, G8="EM60",EOMONTH(E8,0)+60, G8="EM90",EOMONTH(E8,0)+90, G8="OA15",E8+15, G8="OA30",E8+30, G8="OA60",E8+60)</f>
        <v>46138</v>
      </c>
      <c r="G8" s="2" t="str">
        <f>VLOOKUP(C8,Vendor_list!A:D,3,0)</f>
        <v>OA15</v>
      </c>
      <c r="H8" s="3">
        <v>88500</v>
      </c>
      <c r="I8" s="4" t="s">
        <v>225</v>
      </c>
      <c r="J8" s="5" t="s">
        <v>219</v>
      </c>
      <c r="K8" s="8">
        <v>46167</v>
      </c>
      <c r="L8" s="6">
        <f>IF(J8="Paid",K8,IF(J8="Open",F8,F8+INDEX(Vendor_list!$F$2:$F$16,MATCH(B8,Vendor_list!$B$2:$B$16,0))*Weekly_Cash_Flow_Summary!$B$9))</f>
        <v>46167</v>
      </c>
    </row>
    <row r="9" spans="1:12" ht="15" customHeight="1" x14ac:dyDescent="0.2">
      <c r="A9" s="2" t="s">
        <v>228</v>
      </c>
      <c r="B9" s="2" t="str">
        <f>VLOOKUP(C9,Vendor_list!A:D,2,0)</f>
        <v>V00011</v>
      </c>
      <c r="C9" s="2" t="s">
        <v>215</v>
      </c>
      <c r="D9" s="2" t="str">
        <f>VLOOKUP(C9,Vendor_list!A:D,4,0)</f>
        <v>C</v>
      </c>
      <c r="E9" s="28">
        <v>46208</v>
      </c>
      <c r="F9" s="28">
        <f t="array" ref="F9">_xlfn.IFS(G9="EM15",EOMONTH(E9,0)+15, G9="EM30",EOMONTH(E9,0)+30, G9="EM45",EOMONTH(E9,0)+45, G9="EM60",EOMONTH(E9,0)+60, G9="EM90",EOMONTH(E9,0)+90, G9="OA15",E9+15, G9="OA30",E9+30, G9="OA60",E9+60)</f>
        <v>46324</v>
      </c>
      <c r="G9" s="2" t="str">
        <f>VLOOKUP(C9,Vendor_list!A:D,3,0)</f>
        <v>EM90</v>
      </c>
      <c r="H9" s="3">
        <v>246500</v>
      </c>
      <c r="I9" s="4" t="s">
        <v>213</v>
      </c>
      <c r="J9" s="5" t="s">
        <v>37</v>
      </c>
      <c r="K9" s="5"/>
      <c r="L9" s="6">
        <f>IF(J9="Paid",K9,IF(J9="Open",F9,F9+INDEX(Vendor_list!$F$2:$F$16,MATCH(B9,Vendor_list!$B$2:$B$16,0))*Weekly_Cash_Flow_Summary!$B$9))</f>
        <v>46324</v>
      </c>
    </row>
    <row r="10" spans="1:12" ht="15" customHeight="1" x14ac:dyDescent="0.2">
      <c r="A10" s="2" t="s">
        <v>229</v>
      </c>
      <c r="B10" s="2" t="str">
        <f>VLOOKUP(C10,Vendor_list!A:D,2,0)</f>
        <v>V00003</v>
      </c>
      <c r="C10" s="2" t="s">
        <v>217</v>
      </c>
      <c r="D10" s="2" t="str">
        <f>VLOOKUP(C10,Vendor_list!A:D,4,0)</f>
        <v>C</v>
      </c>
      <c r="E10" s="28">
        <v>46136</v>
      </c>
      <c r="F10" s="28">
        <f t="array" ref="F10">_xlfn.IFS(G10="EM15",EOMONTH(E10,0)+15, G10="EM30",EOMONTH(E10,0)+30, G10="EM45",EOMONTH(E10,0)+45, G10="EM60",EOMONTH(E10,0)+60, G10="EM90",EOMONTH(E10,0)+90, G10="OA15",E10+15, G10="OA30",E10+30, G10="OA60",E10+60)</f>
        <v>46166</v>
      </c>
      <c r="G10" s="2" t="str">
        <f>VLOOKUP(C10,Vendor_list!A:D,3,0)</f>
        <v>OA30</v>
      </c>
      <c r="H10" s="3">
        <v>230000</v>
      </c>
      <c r="I10" s="4" t="s">
        <v>218</v>
      </c>
      <c r="J10" s="5" t="s">
        <v>219</v>
      </c>
      <c r="K10" s="8">
        <v>46183</v>
      </c>
      <c r="L10" s="6">
        <f>IF(J10="Paid",K10,IF(J10="Open",F10,F10+INDEX(Vendor_list!$F$2:$F$16,MATCH(B10,Vendor_list!$B$2:$B$16,0))*Weekly_Cash_Flow_Summary!$B$9))</f>
        <v>46183</v>
      </c>
    </row>
    <row r="11" spans="1:12" ht="15" customHeight="1" x14ac:dyDescent="0.2">
      <c r="A11" s="2" t="s">
        <v>230</v>
      </c>
      <c r="B11" s="2" t="str">
        <f>VLOOKUP(C11,Vendor_list!A:D,2,0)</f>
        <v>V00001</v>
      </c>
      <c r="C11" s="2" t="s">
        <v>231</v>
      </c>
      <c r="D11" s="2" t="str">
        <f>VLOOKUP(C11,Vendor_list!A:D,4,0)</f>
        <v>A</v>
      </c>
      <c r="E11" s="28">
        <v>46151</v>
      </c>
      <c r="F11" s="28">
        <f t="array" ref="F11">_xlfn.IFS(G11="EM15",EOMONTH(E11,0)+15, G11="EM30",EOMONTH(E11,0)+30, G11="EM45",EOMONTH(E11,0)+45, G11="EM60",EOMONTH(E11,0)+60, G11="EM90",EOMONTH(E11,0)+90, G11="OA15",E11+15, G11="OA30",E11+30, G11="OA60",E11+60)</f>
        <v>46181</v>
      </c>
      <c r="G11" s="2" t="str">
        <f>VLOOKUP(C11,Vendor_list!A:D,3,0)</f>
        <v>OA30</v>
      </c>
      <c r="H11" s="3">
        <v>243500</v>
      </c>
      <c r="I11" s="4" t="s">
        <v>213</v>
      </c>
      <c r="J11" s="5" t="s">
        <v>219</v>
      </c>
      <c r="K11" s="8">
        <v>46183</v>
      </c>
      <c r="L11" s="6">
        <f>IF(J11="Paid",K11,IF(J11="Open",F11,F11+INDEX(Vendor_list!$F$2:$F$16,MATCH(B11,Vendor_list!$B$2:$B$16,0))*Weekly_Cash_Flow_Summary!$B$9))</f>
        <v>46183</v>
      </c>
    </row>
    <row r="12" spans="1:12" ht="15" customHeight="1" x14ac:dyDescent="0.2">
      <c r="A12" s="2" t="s">
        <v>232</v>
      </c>
      <c r="B12" s="2" t="str">
        <f>VLOOKUP(C12,Vendor_list!A:D,2,0)</f>
        <v>V00009</v>
      </c>
      <c r="C12" s="2" t="s">
        <v>233</v>
      </c>
      <c r="D12" s="2" t="str">
        <f>VLOOKUP(C12,Vendor_list!A:D,4,0)</f>
        <v>B</v>
      </c>
      <c r="E12" s="28">
        <v>46124</v>
      </c>
      <c r="F12" s="28">
        <f t="array" ref="F12">_xlfn.IFS(G12="EM15",EOMONTH(E12,0)+15, G12="EM30",EOMONTH(E12,0)+30, G12="EM45",EOMONTH(E12,0)+45, G12="EM60",EOMONTH(E12,0)+60, G12="EM90",EOMONTH(E12,0)+90, G12="OA15",E12+15, G12="OA30",E12+30, G12="OA60",E12+60)</f>
        <v>46184</v>
      </c>
      <c r="G12" s="2" t="str">
        <f>VLOOKUP(C12,Vendor_list!A:D,3,0)</f>
        <v>OA60</v>
      </c>
      <c r="H12" s="3">
        <v>101000</v>
      </c>
      <c r="I12" s="4" t="s">
        <v>218</v>
      </c>
      <c r="J12" s="5" t="s">
        <v>219</v>
      </c>
      <c r="K12" s="8">
        <v>46198</v>
      </c>
      <c r="L12" s="6">
        <f>IF(J12="Paid",K12,IF(J12="Open",F12,F12+INDEX(Vendor_list!$F$2:$F$16,MATCH(B12,Vendor_list!$B$2:$B$16,0))*Weekly_Cash_Flow_Summary!$B$9))</f>
        <v>46198</v>
      </c>
    </row>
    <row r="13" spans="1:12" ht="15" customHeight="1" x14ac:dyDescent="0.2">
      <c r="A13" s="2" t="s">
        <v>234</v>
      </c>
      <c r="B13" s="2" t="str">
        <f>VLOOKUP(C13,Vendor_list!A:D,2,0)</f>
        <v>V00004</v>
      </c>
      <c r="C13" s="2" t="s">
        <v>235</v>
      </c>
      <c r="D13" s="2" t="str">
        <f>VLOOKUP(C13,Vendor_list!A:D,4,0)</f>
        <v>B</v>
      </c>
      <c r="E13" s="28">
        <v>46158</v>
      </c>
      <c r="F13" s="28">
        <f t="array" ref="F13">_xlfn.IFS(G13="EM15",EOMONTH(E13,0)+15, G13="EM30",EOMONTH(E13,0)+30, G13="EM45",EOMONTH(E13,0)+45, G13="EM60",EOMONTH(E13,0)+60, G13="EM90",EOMONTH(E13,0)+90, G13="OA15",E13+15, G13="OA30",E13+30, G13="OA60",E13+60)</f>
        <v>46263</v>
      </c>
      <c r="G13" s="2" t="str">
        <f>VLOOKUP(C13,Vendor_list!A:D,3,0)</f>
        <v>EM90</v>
      </c>
      <c r="H13" s="3">
        <v>192000</v>
      </c>
      <c r="I13" s="4" t="s">
        <v>218</v>
      </c>
      <c r="J13" s="5" t="s">
        <v>37</v>
      </c>
      <c r="K13" s="5"/>
      <c r="L13" s="6">
        <f>IF(J13="Paid",K13,IF(J13="Open",F13,F13+INDEX(Vendor_list!$F$2:$F$16,MATCH(B13,Vendor_list!$B$2:$B$16,0))*Weekly_Cash_Flow_Summary!$B$9))</f>
        <v>46263</v>
      </c>
    </row>
    <row r="14" spans="1:12" ht="15" customHeight="1" x14ac:dyDescent="0.2">
      <c r="A14" s="2" t="s">
        <v>236</v>
      </c>
      <c r="B14" s="2" t="str">
        <f>VLOOKUP(C14,Vendor_list!A:D,2,0)</f>
        <v>V00006</v>
      </c>
      <c r="C14" s="2" t="s">
        <v>237</v>
      </c>
      <c r="D14" s="2" t="str">
        <f>VLOOKUP(C14,Vendor_list!A:D,4,0)</f>
        <v>B</v>
      </c>
      <c r="E14" s="28">
        <v>46230</v>
      </c>
      <c r="F14" s="28">
        <f t="array" ref="F14">_xlfn.IFS(G14="EM15",EOMONTH(E14,0)+15, G14="EM30",EOMONTH(E14,0)+30, G14="EM45",EOMONTH(E14,0)+45, G14="EM60",EOMONTH(E14,0)+60, G14="EM90",EOMONTH(E14,0)+90, G14="OA15",E14+15, G14="OA30",E14+30, G14="OA60",E14+60)</f>
        <v>46245</v>
      </c>
      <c r="G14" s="2" t="str">
        <f>VLOOKUP(C14,Vendor_list!A:D,3,0)</f>
        <v>OA15</v>
      </c>
      <c r="H14" s="3">
        <v>46500</v>
      </c>
      <c r="I14" s="4" t="s">
        <v>218</v>
      </c>
      <c r="J14" s="5" t="s">
        <v>37</v>
      </c>
      <c r="K14" s="5"/>
      <c r="L14" s="6">
        <f>IF(J14="Paid",K14,IF(J14="Open",F14,F14+INDEX(Vendor_list!$F$2:$F$16,MATCH(B14,Vendor_list!$B$2:$B$16,0))*Weekly_Cash_Flow_Summary!$B$9))</f>
        <v>46245</v>
      </c>
    </row>
    <row r="15" spans="1:12" ht="15" customHeight="1" x14ac:dyDescent="0.2">
      <c r="A15" s="2" t="s">
        <v>238</v>
      </c>
      <c r="B15" s="2" t="str">
        <f>VLOOKUP(C15,Vendor_list!A:D,2,0)</f>
        <v>V00002</v>
      </c>
      <c r="C15" s="2" t="s">
        <v>212</v>
      </c>
      <c r="D15" s="2" t="str">
        <f>VLOOKUP(C15,Vendor_list!A:D,4,0)</f>
        <v>C</v>
      </c>
      <c r="E15" s="28">
        <v>46205</v>
      </c>
      <c r="F15" s="28">
        <f t="array" ref="F15">_xlfn.IFS(G15="EM15",EOMONTH(E15,0)+15, G15="EM30",EOMONTH(E15,0)+30, G15="EM45",EOMONTH(E15,0)+45, G15="EM60",EOMONTH(E15,0)+60, G15="EM90",EOMONTH(E15,0)+90, G15="OA15",E15+15, G15="OA30",E15+30, G15="OA60",E15+60)</f>
        <v>46324</v>
      </c>
      <c r="G15" s="2" t="str">
        <f>VLOOKUP(C15,Vendor_list!A:D,3,0)</f>
        <v>EM90</v>
      </c>
      <c r="H15" s="3">
        <v>95000</v>
      </c>
      <c r="I15" s="4" t="s">
        <v>213</v>
      </c>
      <c r="J15" s="5" t="s">
        <v>37</v>
      </c>
      <c r="K15" s="5"/>
      <c r="L15" s="6">
        <f>IF(J15="Paid",K15,IF(J15="Open",F15,F15+INDEX(Vendor_list!$F$2:$F$16,MATCH(B15,Vendor_list!$B$2:$B$16,0))*Weekly_Cash_Flow_Summary!$B$9))</f>
        <v>46324</v>
      </c>
    </row>
    <row r="16" spans="1:12" ht="15" customHeight="1" x14ac:dyDescent="0.2">
      <c r="A16" s="2" t="s">
        <v>239</v>
      </c>
      <c r="B16" s="2" t="str">
        <f>VLOOKUP(C16,Vendor_list!A:D,2,0)</f>
        <v>V00005</v>
      </c>
      <c r="C16" s="2" t="s">
        <v>240</v>
      </c>
      <c r="D16" s="2" t="str">
        <f>VLOOKUP(C16,Vendor_list!A:D,4,0)</f>
        <v>A</v>
      </c>
      <c r="E16" s="28">
        <v>46231</v>
      </c>
      <c r="F16" s="28">
        <f t="array" ref="F16">_xlfn.IFS(G16="EM15",EOMONTH(E16,0)+15, G16="EM30",EOMONTH(E16,0)+30, G16="EM45",EOMONTH(E16,0)+45, G16="EM60",EOMONTH(E16,0)+60, G16="EM90",EOMONTH(E16,0)+90, G16="OA15",E16+15, G16="OA30",E16+30, G16="OA60",E16+60)</f>
        <v>46249</v>
      </c>
      <c r="G16" s="2" t="str">
        <f>VLOOKUP(C16,Vendor_list!A:D,3,0)</f>
        <v>EM15</v>
      </c>
      <c r="H16" s="3">
        <v>144500</v>
      </c>
      <c r="I16" s="4" t="s">
        <v>213</v>
      </c>
      <c r="J16" s="5" t="s">
        <v>37</v>
      </c>
      <c r="K16" s="5"/>
      <c r="L16" s="6">
        <f>IF(J16="Paid",K16,IF(J16="Open",F16,F16+INDEX(Vendor_list!$F$2:$F$16,MATCH(B16,Vendor_list!$B$2:$B$16,0))*Weekly_Cash_Flow_Summary!$B$9))</f>
        <v>46249</v>
      </c>
    </row>
    <row r="17" spans="1:12" ht="15" customHeight="1" x14ac:dyDescent="0.2">
      <c r="A17" s="2" t="s">
        <v>241</v>
      </c>
      <c r="B17" s="2" t="str">
        <f>VLOOKUP(C17,Vendor_list!A:D,2,0)</f>
        <v>V00010</v>
      </c>
      <c r="C17" s="2" t="s">
        <v>242</v>
      </c>
      <c r="D17" s="2" t="str">
        <f>VLOOKUP(C17,Vendor_list!A:D,4,0)</f>
        <v>C</v>
      </c>
      <c r="E17" s="28">
        <v>46223</v>
      </c>
      <c r="F17" s="28">
        <f t="array" ref="F17">_xlfn.IFS(G17="EM15",EOMONTH(E17,0)+15, G17="EM30",EOMONTH(E17,0)+30, G17="EM45",EOMONTH(E17,0)+45, G17="EM60",EOMONTH(E17,0)+60, G17="EM90",EOMONTH(E17,0)+90, G17="OA15",E17+15, G17="OA30",E17+30, G17="OA60",E17+60)</f>
        <v>46238</v>
      </c>
      <c r="G17" s="2" t="str">
        <f>VLOOKUP(C17,Vendor_list!A:D,3,0)</f>
        <v>OA15</v>
      </c>
      <c r="H17" s="3">
        <v>247500</v>
      </c>
      <c r="I17" s="4" t="s">
        <v>225</v>
      </c>
      <c r="J17" s="5" t="s">
        <v>37</v>
      </c>
      <c r="K17" s="5"/>
      <c r="L17" s="6">
        <f>IF(J17="Paid",K17,IF(J17="Open",F17,F17+INDEX(Vendor_list!$F$2:$F$16,MATCH(B17,Vendor_list!$B$2:$B$16,0))*Weekly_Cash_Flow_Summary!$B$9))</f>
        <v>46238</v>
      </c>
    </row>
    <row r="18" spans="1:12" ht="15" customHeight="1" x14ac:dyDescent="0.2">
      <c r="A18" s="2" t="s">
        <v>243</v>
      </c>
      <c r="B18" s="2" t="str">
        <f>VLOOKUP(C18,Vendor_list!A:D,2,0)</f>
        <v>V00004</v>
      </c>
      <c r="C18" s="2" t="s">
        <v>235</v>
      </c>
      <c r="D18" s="2" t="str">
        <f>VLOOKUP(C18,Vendor_list!A:D,4,0)</f>
        <v>B</v>
      </c>
      <c r="E18" s="28">
        <v>46197</v>
      </c>
      <c r="F18" s="28">
        <f t="array" ref="F18">_xlfn.IFS(G18="EM15",EOMONTH(E18,0)+15, G18="EM30",EOMONTH(E18,0)+30, G18="EM45",EOMONTH(E18,0)+45, G18="EM60",EOMONTH(E18,0)+60, G18="EM90",EOMONTH(E18,0)+90, G18="OA15",E18+15, G18="OA30",E18+30, G18="OA60",E18+60)</f>
        <v>46293</v>
      </c>
      <c r="G18" s="2" t="str">
        <f>VLOOKUP(C18,Vendor_list!A:D,3,0)</f>
        <v>EM90</v>
      </c>
      <c r="H18" s="3">
        <v>119500</v>
      </c>
      <c r="I18" s="4" t="s">
        <v>218</v>
      </c>
      <c r="J18" s="5" t="s">
        <v>37</v>
      </c>
      <c r="K18" s="5"/>
      <c r="L18" s="6">
        <f>IF(J18="Paid",K18,IF(J18="Open",F18,F18+INDEX(Vendor_list!$F$2:$F$16,MATCH(B18,Vendor_list!$B$2:$B$16,0))*Weekly_Cash_Flow_Summary!$B$9))</f>
        <v>46293</v>
      </c>
    </row>
    <row r="19" spans="1:12" ht="15" customHeight="1" x14ac:dyDescent="0.2">
      <c r="A19" s="2" t="s">
        <v>244</v>
      </c>
      <c r="B19" s="2" t="str">
        <f>VLOOKUP(C19,Vendor_list!A:D,2,0)</f>
        <v>V00008</v>
      </c>
      <c r="C19" s="2" t="s">
        <v>245</v>
      </c>
      <c r="D19" s="2" t="str">
        <f>VLOOKUP(C19,Vendor_list!A:D,4,0)</f>
        <v>C</v>
      </c>
      <c r="E19" s="28">
        <v>46173</v>
      </c>
      <c r="F19" s="28">
        <f t="array" ref="F19">_xlfn.IFS(G19="EM15",EOMONTH(E19,0)+15, G19="EM30",EOMONTH(E19,0)+30, G19="EM45",EOMONTH(E19,0)+45, G19="EM60",EOMONTH(E19,0)+60, G19="EM90",EOMONTH(E19,0)+90, G19="OA15",E19+15, G19="OA30",E19+30, G19="OA60",E19+60)</f>
        <v>46233</v>
      </c>
      <c r="G19" s="2" t="str">
        <f>VLOOKUP(C19,Vendor_list!A:D,3,0)</f>
        <v>EM60</v>
      </c>
      <c r="H19" s="3">
        <v>130000</v>
      </c>
      <c r="I19" s="4" t="s">
        <v>218</v>
      </c>
      <c r="J19" s="5" t="s">
        <v>37</v>
      </c>
      <c r="K19" s="5"/>
      <c r="L19" s="6">
        <f>IF(J19="Paid",K19,IF(J19="Open",F19,F19+INDEX(Vendor_list!$F$2:$F$16,MATCH(B19,Vendor_list!$B$2:$B$16,0))*Weekly_Cash_Flow_Summary!$B$9))</f>
        <v>46233</v>
      </c>
    </row>
    <row r="20" spans="1:12" ht="15" customHeight="1" x14ac:dyDescent="0.2">
      <c r="A20" s="2" t="s">
        <v>246</v>
      </c>
      <c r="B20" s="2" t="str">
        <f>VLOOKUP(C20,Vendor_list!A:D,2,0)</f>
        <v>V00009</v>
      </c>
      <c r="C20" s="2" t="s">
        <v>233</v>
      </c>
      <c r="D20" s="2" t="str">
        <f>VLOOKUP(C20,Vendor_list!A:D,4,0)</f>
        <v>B</v>
      </c>
      <c r="E20" s="28">
        <v>46182</v>
      </c>
      <c r="F20" s="28">
        <f t="array" ref="F20">_xlfn.IFS(G20="EM15",EOMONTH(E20,0)+15, G20="EM30",EOMONTH(E20,0)+30, G20="EM45",EOMONTH(E20,0)+45, G20="EM60",EOMONTH(E20,0)+60, G20="EM90",EOMONTH(E20,0)+90, G20="OA15",E20+15, G20="OA30",E20+30, G20="OA60",E20+60)</f>
        <v>46242</v>
      </c>
      <c r="G20" s="2" t="str">
        <f>VLOOKUP(C20,Vendor_list!A:D,3,0)</f>
        <v>OA60</v>
      </c>
      <c r="H20" s="3">
        <v>107500</v>
      </c>
      <c r="I20" s="4" t="s">
        <v>218</v>
      </c>
      <c r="J20" s="5" t="s">
        <v>37</v>
      </c>
      <c r="K20" s="5"/>
      <c r="L20" s="6">
        <f>IF(J20="Paid",K20,IF(J20="Open",F20,F20+INDEX(Vendor_list!$F$2:$F$16,MATCH(B20,Vendor_list!$B$2:$B$16,0))*Weekly_Cash_Flow_Summary!$B$9))</f>
        <v>46242</v>
      </c>
    </row>
    <row r="21" spans="1:12" ht="15" customHeight="1" x14ac:dyDescent="0.2">
      <c r="A21" s="2" t="s">
        <v>247</v>
      </c>
      <c r="B21" s="2" t="str">
        <f>VLOOKUP(C21,Vendor_list!A:D,2,0)</f>
        <v>V00002</v>
      </c>
      <c r="C21" s="2" t="s">
        <v>212</v>
      </c>
      <c r="D21" s="2" t="str">
        <f>VLOOKUP(C21,Vendor_list!A:D,4,0)</f>
        <v>C</v>
      </c>
      <c r="E21" s="28">
        <v>46162</v>
      </c>
      <c r="F21" s="28">
        <f t="array" ref="F21">_xlfn.IFS(G21="EM15",EOMONTH(E21,0)+15, G21="EM30",EOMONTH(E21,0)+30, G21="EM45",EOMONTH(E21,0)+45, G21="EM60",EOMONTH(E21,0)+60, G21="EM90",EOMONTH(E21,0)+90, G21="OA15",E21+15, G21="OA30",E21+30, G21="OA60",E21+60)</f>
        <v>46263</v>
      </c>
      <c r="G21" s="2" t="str">
        <f>VLOOKUP(C21,Vendor_list!A:D,3,0)</f>
        <v>EM90</v>
      </c>
      <c r="H21" s="3">
        <v>23000</v>
      </c>
      <c r="I21" s="4" t="s">
        <v>213</v>
      </c>
      <c r="J21" s="5" t="s">
        <v>37</v>
      </c>
      <c r="K21" s="5"/>
      <c r="L21" s="6">
        <f>IF(J21="Paid",K21,IF(J21="Open",F21,F21+INDEX(Vendor_list!$F$2:$F$16,MATCH(B21,Vendor_list!$B$2:$B$16,0))*Weekly_Cash_Flow_Summary!$B$9))</f>
        <v>46263</v>
      </c>
    </row>
    <row r="22" spans="1:12" ht="15" customHeight="1" x14ac:dyDescent="0.2">
      <c r="A22" s="2" t="s">
        <v>248</v>
      </c>
      <c r="B22" s="2" t="str">
        <f>VLOOKUP(C22,Vendor_list!A:D,2,0)</f>
        <v>V00009</v>
      </c>
      <c r="C22" s="2" t="s">
        <v>233</v>
      </c>
      <c r="D22" s="2" t="str">
        <f>VLOOKUP(C22,Vendor_list!A:D,4,0)</f>
        <v>B</v>
      </c>
      <c r="E22" s="28">
        <v>46162</v>
      </c>
      <c r="F22" s="28">
        <f t="array" ref="F22">_xlfn.IFS(G22="EM15",EOMONTH(E22,0)+15, G22="EM30",EOMONTH(E22,0)+30, G22="EM45",EOMONTH(E22,0)+45, G22="EM60",EOMONTH(E22,0)+60, G22="EM90",EOMONTH(E22,0)+90, G22="OA15",E22+15, G22="OA30",E22+30, G22="OA60",E22+60)</f>
        <v>46222</v>
      </c>
      <c r="G22" s="2" t="str">
        <f>VLOOKUP(C22,Vendor_list!A:D,3,0)</f>
        <v>OA60</v>
      </c>
      <c r="H22" s="3">
        <v>138500</v>
      </c>
      <c r="I22" s="4" t="s">
        <v>218</v>
      </c>
      <c r="J22" s="5" t="s">
        <v>47</v>
      </c>
      <c r="K22" s="5"/>
      <c r="L22" s="6">
        <f>IF(J22="Paid",K22,IF(J22="Open",F22,F22+INDEX(Vendor_list!$F$2:$F$16,MATCH(B22,Vendor_list!$B$2:$B$16,0))*Weekly_Cash_Flow_Summary!$B$9))</f>
        <v>46229</v>
      </c>
    </row>
    <row r="23" spans="1:12" ht="15" customHeight="1" x14ac:dyDescent="0.2">
      <c r="A23" s="2" t="s">
        <v>249</v>
      </c>
      <c r="B23" s="2" t="str">
        <f>VLOOKUP(C23,Vendor_list!A:D,2,0)</f>
        <v>V00003</v>
      </c>
      <c r="C23" s="2" t="s">
        <v>217</v>
      </c>
      <c r="D23" s="2" t="str">
        <f>VLOOKUP(C23,Vendor_list!A:D,4,0)</f>
        <v>C</v>
      </c>
      <c r="E23" s="28">
        <v>46177</v>
      </c>
      <c r="F23" s="28">
        <f t="array" ref="F23">_xlfn.IFS(G23="EM15",EOMONTH(E23,0)+15, G23="EM30",EOMONTH(E23,0)+30, G23="EM45",EOMONTH(E23,0)+45, G23="EM60",EOMONTH(E23,0)+60, G23="EM90",EOMONTH(E23,0)+90, G23="OA15",E23+15, G23="OA30",E23+30, G23="OA60",E23+60)</f>
        <v>46207</v>
      </c>
      <c r="G23" s="2" t="str">
        <f>VLOOKUP(C23,Vendor_list!A:D,3,0)</f>
        <v>OA30</v>
      </c>
      <c r="H23" s="3">
        <v>289500</v>
      </c>
      <c r="I23" s="4" t="s">
        <v>218</v>
      </c>
      <c r="J23" s="5" t="s">
        <v>47</v>
      </c>
      <c r="K23" s="5"/>
      <c r="L23" s="6">
        <f>IF(J23="Paid",K23,IF(J23="Open",F23,F23+INDEX(Vendor_list!$F$2:$F$16,MATCH(B23,Vendor_list!$B$2:$B$16,0))*Weekly_Cash_Flow_Summary!$B$9))</f>
        <v>46214</v>
      </c>
    </row>
    <row r="24" spans="1:12" ht="15" customHeight="1" x14ac:dyDescent="0.2">
      <c r="A24" s="2" t="s">
        <v>250</v>
      </c>
      <c r="B24" s="2" t="str">
        <f>VLOOKUP(C24,Vendor_list!A:D,2,0)</f>
        <v>V00010</v>
      </c>
      <c r="C24" s="2" t="s">
        <v>242</v>
      </c>
      <c r="D24" s="2" t="str">
        <f>VLOOKUP(C24,Vendor_list!A:D,4,0)</f>
        <v>C</v>
      </c>
      <c r="E24" s="28">
        <v>46164</v>
      </c>
      <c r="F24" s="28">
        <f t="array" ref="F24">_xlfn.IFS(G24="EM15",EOMONTH(E24,0)+15, G24="EM30",EOMONTH(E24,0)+30, G24="EM45",EOMONTH(E24,0)+45, G24="EM60",EOMONTH(E24,0)+60, G24="EM90",EOMONTH(E24,0)+90, G24="OA15",E24+15, G24="OA30",E24+30, G24="OA60",E24+60)</f>
        <v>46179</v>
      </c>
      <c r="G24" s="2" t="str">
        <f>VLOOKUP(C24,Vendor_list!A:D,3,0)</f>
        <v>OA15</v>
      </c>
      <c r="H24" s="3">
        <v>291500</v>
      </c>
      <c r="I24" s="4" t="s">
        <v>225</v>
      </c>
      <c r="J24" s="5" t="s">
        <v>219</v>
      </c>
      <c r="K24" s="8">
        <v>46198</v>
      </c>
      <c r="L24" s="6">
        <f>IF(J24="Paid",K24,IF(J24="Open",F24,F24+INDEX(Vendor_list!$F$2:$F$16,MATCH(B24,Vendor_list!$B$2:$B$16,0))*Weekly_Cash_Flow_Summary!$B$9))</f>
        <v>46198</v>
      </c>
    </row>
    <row r="25" spans="1:12" ht="15" customHeight="1" x14ac:dyDescent="0.2">
      <c r="A25" s="2" t="s">
        <v>251</v>
      </c>
      <c r="B25" s="2" t="str">
        <f>VLOOKUP(C25,Vendor_list!A:D,2,0)</f>
        <v>V00002</v>
      </c>
      <c r="C25" s="2" t="s">
        <v>212</v>
      </c>
      <c r="D25" s="2" t="str">
        <f>VLOOKUP(C25,Vendor_list!A:D,4,0)</f>
        <v>C</v>
      </c>
      <c r="E25" s="28">
        <v>46153</v>
      </c>
      <c r="F25" s="28">
        <f t="array" ref="F25">_xlfn.IFS(G25="EM15",EOMONTH(E25,0)+15, G25="EM30",EOMONTH(E25,0)+30, G25="EM45",EOMONTH(E25,0)+45, G25="EM60",EOMONTH(E25,0)+60, G25="EM90",EOMONTH(E25,0)+90, G25="OA15",E25+15, G25="OA30",E25+30, G25="OA60",E25+60)</f>
        <v>46263</v>
      </c>
      <c r="G25" s="2" t="str">
        <f>VLOOKUP(C25,Vendor_list!A:D,3,0)</f>
        <v>EM90</v>
      </c>
      <c r="H25" s="3">
        <v>276000</v>
      </c>
      <c r="I25" s="4" t="s">
        <v>213</v>
      </c>
      <c r="J25" s="5" t="s">
        <v>37</v>
      </c>
      <c r="K25" s="5"/>
      <c r="L25" s="6">
        <f>IF(J25="Paid",K25,IF(J25="Open",F25,F25+INDEX(Vendor_list!$F$2:$F$16,MATCH(B25,Vendor_list!$B$2:$B$16,0))*Weekly_Cash_Flow_Summary!$B$9))</f>
        <v>46263</v>
      </c>
    </row>
    <row r="26" spans="1:12" ht="15" customHeight="1" x14ac:dyDescent="0.2">
      <c r="A26" s="2" t="s">
        <v>252</v>
      </c>
      <c r="B26" s="2" t="str">
        <f>VLOOKUP(C26,Vendor_list!A:D,2,0)</f>
        <v>V00005</v>
      </c>
      <c r="C26" s="2" t="s">
        <v>240</v>
      </c>
      <c r="D26" s="2" t="str">
        <f>VLOOKUP(C26,Vendor_list!A:D,4,0)</f>
        <v>A</v>
      </c>
      <c r="E26" s="28">
        <v>46205</v>
      </c>
      <c r="F26" s="28">
        <f t="array" ref="F26">_xlfn.IFS(G26="EM15",EOMONTH(E26,0)+15, G26="EM30",EOMONTH(E26,0)+30, G26="EM45",EOMONTH(E26,0)+45, G26="EM60",EOMONTH(E26,0)+60, G26="EM90",EOMONTH(E26,0)+90, G26="OA15",E26+15, G26="OA30",E26+30, G26="OA60",E26+60)</f>
        <v>46249</v>
      </c>
      <c r="G26" s="2" t="str">
        <f>VLOOKUP(C26,Vendor_list!A:D,3,0)</f>
        <v>EM15</v>
      </c>
      <c r="H26" s="3">
        <v>213000</v>
      </c>
      <c r="I26" s="4" t="s">
        <v>213</v>
      </c>
      <c r="J26" s="5" t="s">
        <v>37</v>
      </c>
      <c r="K26" s="5"/>
      <c r="L26" s="6">
        <f>IF(J26="Paid",K26,IF(J26="Open",F26,F26+INDEX(Vendor_list!$F$2:$F$16,MATCH(B26,Vendor_list!$B$2:$B$16,0))*Weekly_Cash_Flow_Summary!$B$9))</f>
        <v>46249</v>
      </c>
    </row>
    <row r="27" spans="1:12" ht="15" customHeight="1" x14ac:dyDescent="0.2">
      <c r="A27" s="2" t="s">
        <v>253</v>
      </c>
      <c r="B27" s="2" t="str">
        <f>VLOOKUP(C27,Vendor_list!A:D,2,0)</f>
        <v>V00015</v>
      </c>
      <c r="C27" s="2" t="s">
        <v>254</v>
      </c>
      <c r="D27" s="2" t="str">
        <f>VLOOKUP(C27,Vendor_list!A:D,4,0)</f>
        <v>C</v>
      </c>
      <c r="E27" s="28">
        <v>46167</v>
      </c>
      <c r="F27" s="28">
        <f t="array" ref="F27">_xlfn.IFS(G27="EM15",EOMONTH(E27,0)+15, G27="EM30",EOMONTH(E27,0)+30, G27="EM45",EOMONTH(E27,0)+45, G27="EM60",EOMONTH(E27,0)+60, G27="EM90",EOMONTH(E27,0)+90, G27="OA15",E27+15, G27="OA30",E27+30, G27="OA60",E27+60)</f>
        <v>46227</v>
      </c>
      <c r="G27" s="2" t="str">
        <f>VLOOKUP(C27,Vendor_list!A:D,3,0)</f>
        <v>OA60</v>
      </c>
      <c r="H27" s="3">
        <v>283500</v>
      </c>
      <c r="I27" s="4" t="s">
        <v>225</v>
      </c>
      <c r="J27" s="5" t="s">
        <v>47</v>
      </c>
      <c r="K27" s="5"/>
      <c r="L27" s="6">
        <f>IF(J27="Paid",K27,IF(J27="Open",F27,F27+INDEX(Vendor_list!$F$2:$F$16,MATCH(B27,Vendor_list!$B$2:$B$16,0))*Weekly_Cash_Flow_Summary!$B$9))</f>
        <v>46242</v>
      </c>
    </row>
    <row r="28" spans="1:12" ht="15" customHeight="1" x14ac:dyDescent="0.2">
      <c r="A28" s="2" t="s">
        <v>255</v>
      </c>
      <c r="B28" s="2" t="str">
        <f>VLOOKUP(C28,Vendor_list!A:D,2,0)</f>
        <v>V00009</v>
      </c>
      <c r="C28" s="2" t="s">
        <v>233</v>
      </c>
      <c r="D28" s="2" t="str">
        <f>VLOOKUP(C28,Vendor_list!A:D,4,0)</f>
        <v>B</v>
      </c>
      <c r="E28" s="28">
        <v>46181</v>
      </c>
      <c r="F28" s="28">
        <f t="array" ref="F28">_xlfn.IFS(G28="EM15",EOMONTH(E28,0)+15, G28="EM30",EOMONTH(E28,0)+30, G28="EM45",EOMONTH(E28,0)+45, G28="EM60",EOMONTH(E28,0)+60, G28="EM90",EOMONTH(E28,0)+90, G28="OA15",E28+15, G28="OA30",E28+30, G28="OA60",E28+60)</f>
        <v>46241</v>
      </c>
      <c r="G28" s="2" t="str">
        <f>VLOOKUP(C28,Vendor_list!A:D,3,0)</f>
        <v>OA60</v>
      </c>
      <c r="H28" s="3">
        <v>278000</v>
      </c>
      <c r="I28" s="4" t="s">
        <v>218</v>
      </c>
      <c r="J28" s="5" t="s">
        <v>37</v>
      </c>
      <c r="K28" s="5"/>
      <c r="L28" s="6">
        <f>IF(J28="Paid",K28,IF(J28="Open",F28,F28+INDEX(Vendor_list!$F$2:$F$16,MATCH(B28,Vendor_list!$B$2:$B$16,0))*Weekly_Cash_Flow_Summary!$B$9))</f>
        <v>46241</v>
      </c>
    </row>
    <row r="29" spans="1:12" ht="15" customHeight="1" x14ac:dyDescent="0.2">
      <c r="A29" s="2" t="s">
        <v>256</v>
      </c>
      <c r="B29" s="2" t="str">
        <f>VLOOKUP(C29,Vendor_list!A:D,2,0)</f>
        <v>V00001</v>
      </c>
      <c r="C29" s="2" t="s">
        <v>231</v>
      </c>
      <c r="D29" s="2" t="str">
        <f>VLOOKUP(C29,Vendor_list!A:D,4,0)</f>
        <v>A</v>
      </c>
      <c r="E29" s="28">
        <v>46211</v>
      </c>
      <c r="F29" s="28">
        <f t="array" ref="F29">_xlfn.IFS(G29="EM15",EOMONTH(E29,0)+15, G29="EM30",EOMONTH(E29,0)+30, G29="EM45",EOMONTH(E29,0)+45, G29="EM60",EOMONTH(E29,0)+60, G29="EM90",EOMONTH(E29,0)+90, G29="OA15",E29+15, G29="OA30",E29+30, G29="OA60",E29+60)</f>
        <v>46241</v>
      </c>
      <c r="G29" s="2" t="str">
        <f>VLOOKUP(C29,Vendor_list!A:D,3,0)</f>
        <v>OA30</v>
      </c>
      <c r="H29" s="3">
        <v>50500</v>
      </c>
      <c r="I29" s="4" t="s">
        <v>213</v>
      </c>
      <c r="J29" s="5" t="s">
        <v>37</v>
      </c>
      <c r="K29" s="5"/>
      <c r="L29" s="6">
        <f>IF(J29="Paid",K29,IF(J29="Open",F29,F29+INDEX(Vendor_list!$F$2:$F$16,MATCH(B29,Vendor_list!$B$2:$B$16,0))*Weekly_Cash_Flow_Summary!$B$9))</f>
        <v>46241</v>
      </c>
    </row>
    <row r="30" spans="1:12" ht="15" customHeight="1" x14ac:dyDescent="0.2">
      <c r="A30" s="2" t="s">
        <v>257</v>
      </c>
      <c r="B30" s="2" t="str">
        <f>VLOOKUP(C30,Vendor_list!A:D,2,0)</f>
        <v>V00004</v>
      </c>
      <c r="C30" s="2" t="s">
        <v>235</v>
      </c>
      <c r="D30" s="2" t="str">
        <f>VLOOKUP(C30,Vendor_list!A:D,4,0)</f>
        <v>B</v>
      </c>
      <c r="E30" s="28">
        <v>46193</v>
      </c>
      <c r="F30" s="28">
        <f t="array" ref="F30">_xlfn.IFS(G30="EM15",EOMONTH(E30,0)+15, G30="EM30",EOMONTH(E30,0)+30, G30="EM45",EOMONTH(E30,0)+45, G30="EM60",EOMONTH(E30,0)+60, G30="EM90",EOMONTH(E30,0)+90, G30="OA15",E30+15, G30="OA30",E30+30, G30="OA60",E30+60)</f>
        <v>46293</v>
      </c>
      <c r="G30" s="2" t="str">
        <f>VLOOKUP(C30,Vendor_list!A:D,3,0)</f>
        <v>EM90</v>
      </c>
      <c r="H30" s="3">
        <v>272500</v>
      </c>
      <c r="I30" s="4" t="s">
        <v>218</v>
      </c>
      <c r="J30" s="5" t="s">
        <v>37</v>
      </c>
      <c r="K30" s="5"/>
      <c r="L30" s="6">
        <f>IF(J30="Paid",K30,IF(J30="Open",F30,F30+INDEX(Vendor_list!$F$2:$F$16,MATCH(B30,Vendor_list!$B$2:$B$16,0))*Weekly_Cash_Flow_Summary!$B$9))</f>
        <v>46293</v>
      </c>
    </row>
    <row r="31" spans="1:12" ht="15" customHeight="1" x14ac:dyDescent="0.2">
      <c r="A31" s="2" t="s">
        <v>258</v>
      </c>
      <c r="B31" s="2" t="str">
        <f>VLOOKUP(C31,Vendor_list!A:D,2,0)</f>
        <v>V00014</v>
      </c>
      <c r="C31" s="2" t="s">
        <v>227</v>
      </c>
      <c r="D31" s="2" t="str">
        <f>VLOOKUP(C31,Vendor_list!A:D,4,0)</f>
        <v>C</v>
      </c>
      <c r="E31" s="28">
        <v>46118</v>
      </c>
      <c r="F31" s="28">
        <f t="array" ref="F31">_xlfn.IFS(G31="EM15",EOMONTH(E31,0)+15, G31="EM30",EOMONTH(E31,0)+30, G31="EM45",EOMONTH(E31,0)+45, G31="EM60",EOMONTH(E31,0)+60, G31="EM90",EOMONTH(E31,0)+90, G31="OA15",E31+15, G31="OA30",E31+30, G31="OA60",E31+60)</f>
        <v>46133</v>
      </c>
      <c r="G31" s="2" t="str">
        <f>VLOOKUP(C31,Vendor_list!A:D,3,0)</f>
        <v>OA15</v>
      </c>
      <c r="H31" s="3">
        <v>92000</v>
      </c>
      <c r="I31" s="4" t="s">
        <v>225</v>
      </c>
      <c r="J31" s="5" t="s">
        <v>219</v>
      </c>
      <c r="K31" s="8">
        <v>46152</v>
      </c>
      <c r="L31" s="6">
        <f>IF(J31="Paid",K31,IF(J31="Open",F31,F31+INDEX(Vendor_list!$F$2:$F$16,MATCH(B31,Vendor_list!$B$2:$B$16,0))*Weekly_Cash_Flow_Summary!$B$9))</f>
        <v>46152</v>
      </c>
    </row>
    <row r="32" spans="1:12" ht="15" customHeight="1" x14ac:dyDescent="0.2">
      <c r="A32" s="2" t="s">
        <v>259</v>
      </c>
      <c r="B32" s="2" t="str">
        <f>VLOOKUP(C32,Vendor_list!A:D,2,0)</f>
        <v>V00006</v>
      </c>
      <c r="C32" s="2" t="s">
        <v>237</v>
      </c>
      <c r="D32" s="2" t="str">
        <f>VLOOKUP(C32,Vendor_list!A:D,4,0)</f>
        <v>B</v>
      </c>
      <c r="E32" s="28">
        <v>46193</v>
      </c>
      <c r="F32" s="28">
        <f t="array" ref="F32">_xlfn.IFS(G32="EM15",EOMONTH(E32,0)+15, G32="EM30",EOMONTH(E32,0)+30, G32="EM45",EOMONTH(E32,0)+45, G32="EM60",EOMONTH(E32,0)+60, G32="EM90",EOMONTH(E32,0)+90, G32="OA15",E32+15, G32="OA30",E32+30, G32="OA60",E32+60)</f>
        <v>46208</v>
      </c>
      <c r="G32" s="2" t="str">
        <f>VLOOKUP(C32,Vendor_list!A:D,3,0)</f>
        <v>OA15</v>
      </c>
      <c r="H32" s="3">
        <v>87500</v>
      </c>
      <c r="I32" s="4" t="s">
        <v>218</v>
      </c>
      <c r="J32" s="5" t="s">
        <v>219</v>
      </c>
      <c r="K32" s="8">
        <v>46213</v>
      </c>
      <c r="L32" s="6">
        <f>IF(J32="Paid",K32,IF(J32="Open",F32,F32+INDEX(Vendor_list!$F$2:$F$16,MATCH(B32,Vendor_list!$B$2:$B$16,0))*Weekly_Cash_Flow_Summary!$B$9))</f>
        <v>46213</v>
      </c>
    </row>
    <row r="33" spans="1:12" ht="15" customHeight="1" x14ac:dyDescent="0.2">
      <c r="A33" s="2" t="s">
        <v>260</v>
      </c>
      <c r="B33" s="2" t="str">
        <f>VLOOKUP(C33,Vendor_list!A:D,2,0)</f>
        <v>V00012</v>
      </c>
      <c r="C33" s="2" t="s">
        <v>224</v>
      </c>
      <c r="D33" s="2" t="str">
        <f>VLOOKUP(C33,Vendor_list!A:D,4,0)</f>
        <v>B</v>
      </c>
      <c r="E33" s="28">
        <v>46145</v>
      </c>
      <c r="F33" s="28">
        <f t="array" ref="F33">_xlfn.IFS(G33="EM15",EOMONTH(E33,0)+15, G33="EM30",EOMONTH(E33,0)+30, G33="EM45",EOMONTH(E33,0)+45, G33="EM60",EOMONTH(E33,0)+60, G33="EM90",EOMONTH(E33,0)+90, G33="OA15",E33+15, G33="OA30",E33+30, G33="OA60",E33+60)</f>
        <v>46160</v>
      </c>
      <c r="G33" s="2" t="str">
        <f>VLOOKUP(C33,Vendor_list!A:D,3,0)</f>
        <v>OA15</v>
      </c>
      <c r="H33" s="3">
        <v>178000</v>
      </c>
      <c r="I33" s="4" t="s">
        <v>225</v>
      </c>
      <c r="J33" s="5" t="s">
        <v>219</v>
      </c>
      <c r="K33" s="8">
        <v>46183</v>
      </c>
      <c r="L33" s="6">
        <f>IF(J33="Paid",K33,IF(J33="Open",F33,F33+INDEX(Vendor_list!$F$2:$F$16,MATCH(B33,Vendor_list!$B$2:$B$16,0))*Weekly_Cash_Flow_Summary!$B$9))</f>
        <v>46183</v>
      </c>
    </row>
    <row r="34" spans="1:12" ht="15" customHeight="1" x14ac:dyDescent="0.2">
      <c r="A34" s="2" t="s">
        <v>261</v>
      </c>
      <c r="B34" s="2" t="str">
        <f>VLOOKUP(C34,Vendor_list!A:D,2,0)</f>
        <v>V00006</v>
      </c>
      <c r="C34" s="2" t="s">
        <v>237</v>
      </c>
      <c r="D34" s="2" t="str">
        <f>VLOOKUP(C34,Vendor_list!A:D,4,0)</f>
        <v>B</v>
      </c>
      <c r="E34" s="28">
        <v>46118</v>
      </c>
      <c r="F34" s="28">
        <f t="array" ref="F34">_xlfn.IFS(G34="EM15",EOMONTH(E34,0)+15, G34="EM30",EOMONTH(E34,0)+30, G34="EM45",EOMONTH(E34,0)+45, G34="EM60",EOMONTH(E34,0)+60, G34="EM90",EOMONTH(E34,0)+90, G34="OA15",E34+15, G34="OA30",E34+30, G34="OA60",E34+60)</f>
        <v>46133</v>
      </c>
      <c r="G34" s="2" t="str">
        <f>VLOOKUP(C34,Vendor_list!A:D,3,0)</f>
        <v>OA15</v>
      </c>
      <c r="H34" s="3">
        <v>26000</v>
      </c>
      <c r="I34" s="4" t="s">
        <v>218</v>
      </c>
      <c r="J34" s="5" t="s">
        <v>219</v>
      </c>
      <c r="K34" s="8">
        <v>46152</v>
      </c>
      <c r="L34" s="6">
        <f>IF(J34="Paid",K34,IF(J34="Open",F34,F34+INDEX(Vendor_list!$F$2:$F$16,MATCH(B34,Vendor_list!$B$2:$B$16,0))*Weekly_Cash_Flow_Summary!$B$9))</f>
        <v>46152</v>
      </c>
    </row>
    <row r="35" spans="1:12" ht="15" customHeight="1" x14ac:dyDescent="0.2">
      <c r="A35" s="2" t="s">
        <v>262</v>
      </c>
      <c r="B35" s="2" t="str">
        <f>VLOOKUP(C35,Vendor_list!A:D,2,0)</f>
        <v>V00002</v>
      </c>
      <c r="C35" s="2" t="s">
        <v>212</v>
      </c>
      <c r="D35" s="2" t="str">
        <f>VLOOKUP(C35,Vendor_list!A:D,4,0)</f>
        <v>C</v>
      </c>
      <c r="E35" s="28">
        <v>46142</v>
      </c>
      <c r="F35" s="28">
        <f t="array" ref="F35">_xlfn.IFS(G35="EM15",EOMONTH(E35,0)+15, G35="EM30",EOMONTH(E35,0)+30, G35="EM45",EOMONTH(E35,0)+45, G35="EM60",EOMONTH(E35,0)+60, G35="EM90",EOMONTH(E35,0)+90, G35="OA15",E35+15, G35="OA30",E35+30, G35="OA60",E35+60)</f>
        <v>46232</v>
      </c>
      <c r="G35" s="2" t="str">
        <f>VLOOKUP(C35,Vendor_list!A:D,3,0)</f>
        <v>EM90</v>
      </c>
      <c r="H35" s="3">
        <v>69500</v>
      </c>
      <c r="I35" s="4" t="s">
        <v>213</v>
      </c>
      <c r="J35" s="5" t="s">
        <v>47</v>
      </c>
      <c r="K35" s="5"/>
      <c r="L35" s="6">
        <f>IF(J35="Paid",K35,IF(J35="Open",F35,F35+INDEX(Vendor_list!$F$2:$F$16,MATCH(B35,Vendor_list!$B$2:$B$16,0))*Weekly_Cash_Flow_Summary!$B$9))</f>
        <v>46234</v>
      </c>
    </row>
    <row r="36" spans="1:12" ht="15" customHeight="1" x14ac:dyDescent="0.2">
      <c r="A36" s="2" t="s">
        <v>263</v>
      </c>
      <c r="B36" s="2" t="str">
        <f>VLOOKUP(C36,Vendor_list!A:D,2,0)</f>
        <v>V00013</v>
      </c>
      <c r="C36" s="2" t="s">
        <v>264</v>
      </c>
      <c r="D36" s="2" t="str">
        <f>VLOOKUP(C36,Vendor_list!A:D,4,0)</f>
        <v>B</v>
      </c>
      <c r="E36" s="28">
        <v>46178</v>
      </c>
      <c r="F36" s="28">
        <f t="array" ref="F36">_xlfn.IFS(G36="EM15",EOMONTH(E36,0)+15, G36="EM30",EOMONTH(E36,0)+30, G36="EM45",EOMONTH(E36,0)+45, G36="EM60",EOMONTH(E36,0)+60, G36="EM90",EOMONTH(E36,0)+90, G36="OA15",E36+15, G36="OA30",E36+30, G36="OA60",E36+60)</f>
        <v>46208</v>
      </c>
      <c r="G36" s="2" t="str">
        <f>VLOOKUP(C36,Vendor_list!A:D,3,0)</f>
        <v>OA30</v>
      </c>
      <c r="H36" s="3">
        <v>59500</v>
      </c>
      <c r="I36" s="4" t="s">
        <v>225</v>
      </c>
      <c r="J36" s="5" t="s">
        <v>219</v>
      </c>
      <c r="K36" s="8">
        <v>46228</v>
      </c>
      <c r="L36" s="6">
        <f>IF(J36="Paid",K36,IF(J36="Open",F36,F36+INDEX(Vendor_list!$F$2:$F$16,MATCH(B36,Vendor_list!$B$2:$B$16,0))*Weekly_Cash_Flow_Summary!$B$9))</f>
        <v>46228</v>
      </c>
    </row>
    <row r="37" spans="1:12" ht="15" customHeight="1" x14ac:dyDescent="0.2">
      <c r="A37" s="2" t="s">
        <v>265</v>
      </c>
      <c r="B37" s="2" t="str">
        <f>VLOOKUP(C37,Vendor_list!A:D,2,0)</f>
        <v>V00011</v>
      </c>
      <c r="C37" s="2" t="s">
        <v>215</v>
      </c>
      <c r="D37" s="2" t="str">
        <f>VLOOKUP(C37,Vendor_list!A:D,4,0)</f>
        <v>C</v>
      </c>
      <c r="E37" s="28">
        <v>46203</v>
      </c>
      <c r="F37" s="28">
        <f t="array" ref="F37">_xlfn.IFS(G37="EM15",EOMONTH(E37,0)+15, G37="EM30",EOMONTH(E37,0)+30, G37="EM45",EOMONTH(E37,0)+45, G37="EM60",EOMONTH(E37,0)+60, G37="EM90",EOMONTH(E37,0)+90, G37="OA15",E37+15, G37="OA30",E37+30, G37="OA60",E37+60)</f>
        <v>46293</v>
      </c>
      <c r="G37" s="2" t="str">
        <f>VLOOKUP(C37,Vendor_list!A:D,3,0)</f>
        <v>EM90</v>
      </c>
      <c r="H37" s="3">
        <v>192000</v>
      </c>
      <c r="I37" s="4" t="s">
        <v>213</v>
      </c>
      <c r="J37" s="5" t="s">
        <v>37</v>
      </c>
      <c r="K37" s="5"/>
      <c r="L37" s="6">
        <f>IF(J37="Paid",K37,IF(J37="Open",F37,F37+INDEX(Vendor_list!$F$2:$F$16,MATCH(B37,Vendor_list!$B$2:$B$16,0))*Weekly_Cash_Flow_Summary!$B$9))</f>
        <v>46293</v>
      </c>
    </row>
    <row r="38" spans="1:12" ht="15" customHeight="1" x14ac:dyDescent="0.2">
      <c r="A38" s="2" t="s">
        <v>266</v>
      </c>
      <c r="B38" s="2" t="str">
        <f>VLOOKUP(C38,Vendor_list!A:D,2,0)</f>
        <v>V00007</v>
      </c>
      <c r="C38" s="2" t="s">
        <v>221</v>
      </c>
      <c r="D38" s="2" t="str">
        <f>VLOOKUP(C38,Vendor_list!A:D,4,0)</f>
        <v>A</v>
      </c>
      <c r="E38" s="28">
        <v>46114</v>
      </c>
      <c r="F38" s="28">
        <f t="array" ref="F38">_xlfn.IFS(G38="EM15",EOMONTH(E38,0)+15, G38="EM30",EOMONTH(E38,0)+30, G38="EM45",EOMONTH(E38,0)+45, G38="EM60",EOMONTH(E38,0)+60, G38="EM90",EOMONTH(E38,0)+90, G38="OA15",E38+15, G38="OA30",E38+30, G38="OA60",E38+60)</f>
        <v>46129</v>
      </c>
      <c r="G38" s="2" t="str">
        <f>VLOOKUP(C38,Vendor_list!A:D,3,0)</f>
        <v>OA15</v>
      </c>
      <c r="H38" s="3">
        <v>128500</v>
      </c>
      <c r="I38" s="4" t="s">
        <v>213</v>
      </c>
      <c r="J38" s="5" t="s">
        <v>219</v>
      </c>
      <c r="K38" s="8">
        <v>46137</v>
      </c>
      <c r="L38" s="6">
        <f>IF(J38="Paid",K38,IF(J38="Open",F38,F38+INDEX(Vendor_list!$F$2:$F$16,MATCH(B38,Vendor_list!$B$2:$B$16,0))*Weekly_Cash_Flow_Summary!$B$9))</f>
        <v>46137</v>
      </c>
    </row>
    <row r="39" spans="1:12" ht="15" customHeight="1" x14ac:dyDescent="0.2">
      <c r="A39" s="2" t="s">
        <v>267</v>
      </c>
      <c r="B39" s="2" t="str">
        <f>VLOOKUP(C39,Vendor_list!A:D,2,0)</f>
        <v>V00014</v>
      </c>
      <c r="C39" s="2" t="s">
        <v>227</v>
      </c>
      <c r="D39" s="2" t="str">
        <f>VLOOKUP(C39,Vendor_list!A:D,4,0)</f>
        <v>C</v>
      </c>
      <c r="E39" s="28">
        <v>46186</v>
      </c>
      <c r="F39" s="28">
        <f t="array" ref="F39">_xlfn.IFS(G39="EM15",EOMONTH(E39,0)+15, G39="EM30",EOMONTH(E39,0)+30, G39="EM45",EOMONTH(E39,0)+45, G39="EM60",EOMONTH(E39,0)+60, G39="EM90",EOMONTH(E39,0)+90, G39="OA15",E39+15, G39="OA30",E39+30, G39="OA60",E39+60)</f>
        <v>46201</v>
      </c>
      <c r="G39" s="2" t="str">
        <f>VLOOKUP(C39,Vendor_list!A:D,3,0)</f>
        <v>OA15</v>
      </c>
      <c r="H39" s="3">
        <v>206500</v>
      </c>
      <c r="I39" s="4" t="s">
        <v>225</v>
      </c>
      <c r="J39" s="5" t="s">
        <v>219</v>
      </c>
      <c r="K39" s="8">
        <v>46228</v>
      </c>
      <c r="L39" s="6">
        <f>IF(J39="Paid",K39,IF(J39="Open",F39,F39+INDEX(Vendor_list!$F$2:$F$16,MATCH(B39,Vendor_list!$B$2:$B$16,0))*Weekly_Cash_Flow_Summary!$B$9))</f>
        <v>46228</v>
      </c>
    </row>
    <row r="40" spans="1:12" ht="15" customHeight="1" x14ac:dyDescent="0.2">
      <c r="A40" s="2" t="s">
        <v>268</v>
      </c>
      <c r="B40" s="2" t="str">
        <f>VLOOKUP(C40,Vendor_list!A:D,2,0)</f>
        <v>V00004</v>
      </c>
      <c r="C40" s="2" t="s">
        <v>235</v>
      </c>
      <c r="D40" s="2" t="str">
        <f>VLOOKUP(C40,Vendor_list!A:D,4,0)</f>
        <v>B</v>
      </c>
      <c r="E40" s="28">
        <v>46172</v>
      </c>
      <c r="F40" s="28">
        <f t="array" ref="F40">_xlfn.IFS(G40="EM15",EOMONTH(E40,0)+15, G40="EM30",EOMONTH(E40,0)+30, G40="EM45",EOMONTH(E40,0)+45, G40="EM60",EOMONTH(E40,0)+60, G40="EM90",EOMONTH(E40,0)+90, G40="OA15",E40+15, G40="OA30",E40+30, G40="OA60",E40+60)</f>
        <v>46263</v>
      </c>
      <c r="G40" s="2" t="str">
        <f>VLOOKUP(C40,Vendor_list!A:D,3,0)</f>
        <v>EM90</v>
      </c>
      <c r="H40" s="3">
        <v>258500</v>
      </c>
      <c r="I40" s="4" t="s">
        <v>218</v>
      </c>
      <c r="J40" s="5" t="s">
        <v>37</v>
      </c>
      <c r="K40" s="5"/>
      <c r="L40" s="6">
        <f>IF(J40="Paid",K40,IF(J40="Open",F40,F40+INDEX(Vendor_list!$F$2:$F$16,MATCH(B40,Vendor_list!$B$2:$B$16,0))*Weekly_Cash_Flow_Summary!$B$9))</f>
        <v>46263</v>
      </c>
    </row>
    <row r="41" spans="1:12" ht="15" customHeight="1" x14ac:dyDescent="0.2">
      <c r="A41" s="2" t="s">
        <v>269</v>
      </c>
      <c r="B41" s="2" t="str">
        <f>VLOOKUP(C41,Vendor_list!A:D,2,0)</f>
        <v>V00005</v>
      </c>
      <c r="C41" s="2" t="s">
        <v>240</v>
      </c>
      <c r="D41" s="2" t="str">
        <f>VLOOKUP(C41,Vendor_list!A:D,4,0)</f>
        <v>A</v>
      </c>
      <c r="E41" s="28">
        <v>46220</v>
      </c>
      <c r="F41" s="28">
        <f t="array" ref="F41">_xlfn.IFS(G41="EM15",EOMONTH(E41,0)+15, G41="EM30",EOMONTH(E41,0)+30, G41="EM45",EOMONTH(E41,0)+45, G41="EM60",EOMONTH(E41,0)+60, G41="EM90",EOMONTH(E41,0)+90, G41="OA15",E41+15, G41="OA30",E41+30, G41="OA60",E41+60)</f>
        <v>46249</v>
      </c>
      <c r="G41" s="2" t="str">
        <f>VLOOKUP(C41,Vendor_list!A:D,3,0)</f>
        <v>EM15</v>
      </c>
      <c r="H41" s="3">
        <v>203000</v>
      </c>
      <c r="I41" s="4" t="s">
        <v>213</v>
      </c>
      <c r="J41" s="5" t="s">
        <v>37</v>
      </c>
      <c r="K41" s="5"/>
      <c r="L41" s="6">
        <f>IF(J41="Paid",K41,IF(J41="Open",F41,F41+INDEX(Vendor_list!$F$2:$F$16,MATCH(B41,Vendor_list!$B$2:$B$16,0))*Weekly_Cash_Flow_Summary!$B$9))</f>
        <v>46249</v>
      </c>
    </row>
    <row r="42" spans="1:12" ht="15" customHeight="1" x14ac:dyDescent="0.2">
      <c r="A42" s="2" t="s">
        <v>270</v>
      </c>
      <c r="B42" s="2" t="str">
        <f>VLOOKUP(C42,Vendor_list!A:D,2,0)</f>
        <v>V00003</v>
      </c>
      <c r="C42" s="2" t="s">
        <v>217</v>
      </c>
      <c r="D42" s="2" t="str">
        <f>VLOOKUP(C42,Vendor_list!A:D,4,0)</f>
        <v>C</v>
      </c>
      <c r="E42" s="28">
        <v>46141</v>
      </c>
      <c r="F42" s="28">
        <f t="array" ref="F42">_xlfn.IFS(G42="EM15",EOMONTH(E42,0)+15, G42="EM30",EOMONTH(E42,0)+30, G42="EM45",EOMONTH(E42,0)+45, G42="EM60",EOMONTH(E42,0)+60, G42="EM90",EOMONTH(E42,0)+90, G42="OA15",E42+15, G42="OA30",E42+30, G42="OA60",E42+60)</f>
        <v>46171</v>
      </c>
      <c r="G42" s="2" t="str">
        <f>VLOOKUP(C42,Vendor_list!A:D,3,0)</f>
        <v>OA30</v>
      </c>
      <c r="H42" s="3">
        <v>186500</v>
      </c>
      <c r="I42" s="4" t="s">
        <v>218</v>
      </c>
      <c r="J42" s="5" t="s">
        <v>219</v>
      </c>
      <c r="K42" s="8">
        <v>46183</v>
      </c>
      <c r="L42" s="6">
        <f>IF(J42="Paid",K42,IF(J42="Open",F42,F42+INDEX(Vendor_list!$F$2:$F$16,MATCH(B42,Vendor_list!$B$2:$B$16,0))*Weekly_Cash_Flow_Summary!$B$9))</f>
        <v>46183</v>
      </c>
    </row>
    <row r="43" spans="1:12" ht="15" customHeight="1" x14ac:dyDescent="0.2">
      <c r="A43" s="2" t="s">
        <v>271</v>
      </c>
      <c r="B43" s="2" t="str">
        <f>VLOOKUP(C43,Vendor_list!A:D,2,0)</f>
        <v>V00008</v>
      </c>
      <c r="C43" s="2" t="s">
        <v>245</v>
      </c>
      <c r="D43" s="2" t="str">
        <f>VLOOKUP(C43,Vendor_list!A:D,4,0)</f>
        <v>C</v>
      </c>
      <c r="E43" s="28">
        <v>46119</v>
      </c>
      <c r="F43" s="28">
        <f t="array" ref="F43">_xlfn.IFS(G43="EM15",EOMONTH(E43,0)+15, G43="EM30",EOMONTH(E43,0)+30, G43="EM45",EOMONTH(E43,0)+45, G43="EM60",EOMONTH(E43,0)+60, G43="EM90",EOMONTH(E43,0)+90, G43="OA15",E43+15, G43="OA30",E43+30, G43="OA60",E43+60)</f>
        <v>46202</v>
      </c>
      <c r="G43" s="2" t="str">
        <f>VLOOKUP(C43,Vendor_list!A:D,3,0)</f>
        <v>EM60</v>
      </c>
      <c r="H43" s="3">
        <v>219000</v>
      </c>
      <c r="I43" s="4" t="s">
        <v>218</v>
      </c>
      <c r="J43" s="5" t="s">
        <v>219</v>
      </c>
      <c r="K43" s="8">
        <v>46213</v>
      </c>
      <c r="L43" s="6">
        <f>IF(J43="Paid",K43,IF(J43="Open",F43,F43+INDEX(Vendor_list!$F$2:$F$16,MATCH(B43,Vendor_list!$B$2:$B$16,0))*Weekly_Cash_Flow_Summary!$B$9))</f>
        <v>46213</v>
      </c>
    </row>
    <row r="44" spans="1:12" ht="15" customHeight="1" x14ac:dyDescent="0.2">
      <c r="A44" s="2" t="s">
        <v>272</v>
      </c>
      <c r="B44" s="2" t="str">
        <f>VLOOKUP(C44,Vendor_list!A:D,2,0)</f>
        <v>V00005</v>
      </c>
      <c r="C44" s="2" t="s">
        <v>240</v>
      </c>
      <c r="D44" s="2" t="str">
        <f>VLOOKUP(C44,Vendor_list!A:D,4,0)</f>
        <v>A</v>
      </c>
      <c r="E44" s="28">
        <v>46161</v>
      </c>
      <c r="F44" s="28">
        <f t="array" ref="F44">_xlfn.IFS(G44="EM15",EOMONTH(E44,0)+15, G44="EM30",EOMONTH(E44,0)+30, G44="EM45",EOMONTH(E44,0)+45, G44="EM60",EOMONTH(E44,0)+60, G44="EM90",EOMONTH(E44,0)+90, G44="OA15",E44+15, G44="OA30",E44+30, G44="OA60",E44+60)</f>
        <v>46188</v>
      </c>
      <c r="G44" s="2" t="str">
        <f>VLOOKUP(C44,Vendor_list!A:D,3,0)</f>
        <v>EM15</v>
      </c>
      <c r="H44" s="3">
        <v>178500</v>
      </c>
      <c r="I44" s="4" t="s">
        <v>213</v>
      </c>
      <c r="J44" s="5" t="s">
        <v>219</v>
      </c>
      <c r="K44" s="8">
        <v>46198</v>
      </c>
      <c r="L44" s="6">
        <f>IF(J44="Paid",K44,IF(J44="Open",F44,F44+INDEX(Vendor_list!$F$2:$F$16,MATCH(B44,Vendor_list!$B$2:$B$16,0))*Weekly_Cash_Flow_Summary!$B$9))</f>
        <v>46198</v>
      </c>
    </row>
    <row r="45" spans="1:12" ht="15" customHeight="1" x14ac:dyDescent="0.2">
      <c r="A45" s="2" t="s">
        <v>273</v>
      </c>
      <c r="B45" s="2" t="str">
        <f>VLOOKUP(C45,Vendor_list!A:D,2,0)</f>
        <v>V00004</v>
      </c>
      <c r="C45" s="2" t="s">
        <v>235</v>
      </c>
      <c r="D45" s="2" t="str">
        <f>VLOOKUP(C45,Vendor_list!A:D,4,0)</f>
        <v>B</v>
      </c>
      <c r="E45" s="28">
        <v>46142</v>
      </c>
      <c r="F45" s="28">
        <f t="array" ref="F45">_xlfn.IFS(G45="EM15",EOMONTH(E45,0)+15, G45="EM30",EOMONTH(E45,0)+30, G45="EM45",EOMONTH(E45,0)+45, G45="EM60",EOMONTH(E45,0)+60, G45="EM90",EOMONTH(E45,0)+90, G45="OA15",E45+15, G45="OA30",E45+30, G45="OA60",E45+60)</f>
        <v>46232</v>
      </c>
      <c r="G45" s="2" t="str">
        <f>VLOOKUP(C45,Vendor_list!A:D,3,0)</f>
        <v>EM90</v>
      </c>
      <c r="H45" s="3">
        <v>287500</v>
      </c>
      <c r="I45" s="4" t="s">
        <v>218</v>
      </c>
      <c r="J45" s="5" t="s">
        <v>47</v>
      </c>
      <c r="K45" s="5"/>
      <c r="L45" s="6">
        <f>IF(J45="Paid",K45,IF(J45="Open",F45,F45+INDEX(Vendor_list!$F$2:$F$16,MATCH(B45,Vendor_list!$B$2:$B$16,0))*Weekly_Cash_Flow_Summary!$B$9))</f>
        <v>46239</v>
      </c>
    </row>
    <row r="46" spans="1:12" ht="15" customHeight="1" x14ac:dyDescent="0.2">
      <c r="A46" s="2" t="s">
        <v>274</v>
      </c>
      <c r="B46" s="2" t="str">
        <f>VLOOKUP(C46,Vendor_list!A:D,2,0)</f>
        <v>V00009</v>
      </c>
      <c r="C46" s="2" t="s">
        <v>233</v>
      </c>
      <c r="D46" s="2" t="str">
        <f>VLOOKUP(C46,Vendor_list!A:D,4,0)</f>
        <v>B</v>
      </c>
      <c r="E46" s="28">
        <v>46124</v>
      </c>
      <c r="F46" s="28">
        <f t="array" ref="F46">_xlfn.IFS(G46="EM15",EOMONTH(E46,0)+15, G46="EM30",EOMONTH(E46,0)+30, G46="EM45",EOMONTH(E46,0)+45, G46="EM60",EOMONTH(E46,0)+60, G46="EM90",EOMONTH(E46,0)+90, G46="OA15",E46+15, G46="OA30",E46+30, G46="OA60",E46+60)</f>
        <v>46184</v>
      </c>
      <c r="G46" s="2" t="str">
        <f>VLOOKUP(C46,Vendor_list!A:D,3,0)</f>
        <v>OA60</v>
      </c>
      <c r="H46" s="3">
        <v>191000</v>
      </c>
      <c r="I46" s="4" t="s">
        <v>218</v>
      </c>
      <c r="J46" s="5" t="s">
        <v>219</v>
      </c>
      <c r="K46" s="8">
        <v>46198</v>
      </c>
      <c r="L46" s="6">
        <f>IF(J46="Paid",K46,IF(J46="Open",F46,F46+INDEX(Vendor_list!$F$2:$F$16,MATCH(B46,Vendor_list!$B$2:$B$16,0))*Weekly_Cash_Flow_Summary!$B$9))</f>
        <v>46198</v>
      </c>
    </row>
    <row r="47" spans="1:12" ht="15" customHeight="1" x14ac:dyDescent="0.2">
      <c r="A47" s="2" t="s">
        <v>275</v>
      </c>
      <c r="B47" s="2" t="str">
        <f>VLOOKUP(C47,Vendor_list!A:D,2,0)</f>
        <v>V00015</v>
      </c>
      <c r="C47" s="2" t="s">
        <v>254</v>
      </c>
      <c r="D47" s="2" t="str">
        <f>VLOOKUP(C47,Vendor_list!A:D,4,0)</f>
        <v>C</v>
      </c>
      <c r="E47" s="28">
        <v>46177</v>
      </c>
      <c r="F47" s="28">
        <f t="array" ref="F47">_xlfn.IFS(G47="EM15",EOMONTH(E47,0)+15, G47="EM30",EOMONTH(E47,0)+30, G47="EM45",EOMONTH(E47,0)+45, G47="EM60",EOMONTH(E47,0)+60, G47="EM90",EOMONTH(E47,0)+90, G47="OA15",E47+15, G47="OA30",E47+30, G47="OA60",E47+60)</f>
        <v>46237</v>
      </c>
      <c r="G47" s="2" t="str">
        <f>VLOOKUP(C47,Vendor_list!A:D,3,0)</f>
        <v>OA60</v>
      </c>
      <c r="H47" s="3">
        <v>38500</v>
      </c>
      <c r="I47" s="4" t="s">
        <v>225</v>
      </c>
      <c r="J47" s="5" t="s">
        <v>37</v>
      </c>
      <c r="K47" s="5"/>
      <c r="L47" s="6">
        <f>IF(J47="Paid",K47,IF(J47="Open",F47,F47+INDEX(Vendor_list!$F$2:$F$16,MATCH(B47,Vendor_list!$B$2:$B$16,0))*Weekly_Cash_Flow_Summary!$B$9))</f>
        <v>46237</v>
      </c>
    </row>
    <row r="48" spans="1:12" ht="15" customHeight="1" x14ac:dyDescent="0.2">
      <c r="A48" s="2" t="s">
        <v>276</v>
      </c>
      <c r="B48" s="2" t="str">
        <f>VLOOKUP(C48,Vendor_list!A:D,2,0)</f>
        <v>V00007</v>
      </c>
      <c r="C48" s="2" t="s">
        <v>221</v>
      </c>
      <c r="D48" s="2" t="str">
        <f>VLOOKUP(C48,Vendor_list!A:D,4,0)</f>
        <v>A</v>
      </c>
      <c r="E48" s="28">
        <v>46195</v>
      </c>
      <c r="F48" s="28">
        <f t="array" ref="F48">_xlfn.IFS(G48="EM15",EOMONTH(E48,0)+15, G48="EM30",EOMONTH(E48,0)+30, G48="EM45",EOMONTH(E48,0)+45, G48="EM60",EOMONTH(E48,0)+60, G48="EM90",EOMONTH(E48,0)+90, G48="OA15",E48+15, G48="OA30",E48+30, G48="OA60",E48+60)</f>
        <v>46210</v>
      </c>
      <c r="G48" s="2" t="str">
        <f>VLOOKUP(C48,Vendor_list!A:D,3,0)</f>
        <v>OA15</v>
      </c>
      <c r="H48" s="3">
        <v>172000</v>
      </c>
      <c r="I48" s="4" t="s">
        <v>213</v>
      </c>
      <c r="J48" s="5" t="s">
        <v>219</v>
      </c>
      <c r="K48" s="8">
        <v>46213</v>
      </c>
      <c r="L48" s="6">
        <f>IF(J48="Paid",K48,IF(J48="Open",F48,F48+INDEX(Vendor_list!$F$2:$F$16,MATCH(B48,Vendor_list!$B$2:$B$16,0))*Weekly_Cash_Flow_Summary!$B$9))</f>
        <v>46213</v>
      </c>
    </row>
    <row r="49" spans="1:12" ht="15" customHeight="1" x14ac:dyDescent="0.2">
      <c r="A49" s="2" t="s">
        <v>277</v>
      </c>
      <c r="B49" s="2" t="str">
        <f>VLOOKUP(C49,Vendor_list!A:D,2,0)</f>
        <v>V00015</v>
      </c>
      <c r="C49" s="2" t="s">
        <v>254</v>
      </c>
      <c r="D49" s="2" t="str">
        <f>VLOOKUP(C49,Vendor_list!A:D,4,0)</f>
        <v>C</v>
      </c>
      <c r="E49" s="28">
        <v>46208</v>
      </c>
      <c r="F49" s="28">
        <f t="array" ref="F49">_xlfn.IFS(G49="EM15",EOMONTH(E49,0)+15, G49="EM30",EOMONTH(E49,0)+30, G49="EM45",EOMONTH(E49,0)+45, G49="EM60",EOMONTH(E49,0)+60, G49="EM90",EOMONTH(E49,0)+90, G49="OA15",E49+15, G49="OA30",E49+30, G49="OA60",E49+60)</f>
        <v>46268</v>
      </c>
      <c r="G49" s="2" t="str">
        <f>VLOOKUP(C49,Vendor_list!A:D,3,0)</f>
        <v>OA60</v>
      </c>
      <c r="H49" s="3">
        <v>132000</v>
      </c>
      <c r="I49" s="4" t="s">
        <v>225</v>
      </c>
      <c r="J49" s="5" t="s">
        <v>37</v>
      </c>
      <c r="K49" s="5"/>
      <c r="L49" s="6">
        <f>IF(J49="Paid",K49,IF(J49="Open",F49,F49+INDEX(Vendor_list!$F$2:$F$16,MATCH(B49,Vendor_list!$B$2:$B$16,0))*Weekly_Cash_Flow_Summary!$B$9))</f>
        <v>46268</v>
      </c>
    </row>
    <row r="50" spans="1:12" ht="15" customHeight="1" x14ac:dyDescent="0.2">
      <c r="A50" s="2" t="s">
        <v>278</v>
      </c>
      <c r="B50" s="2" t="str">
        <f>VLOOKUP(C50,Vendor_list!A:D,2,0)</f>
        <v>V00003</v>
      </c>
      <c r="C50" s="2" t="s">
        <v>217</v>
      </c>
      <c r="D50" s="2" t="str">
        <f>VLOOKUP(C50,Vendor_list!A:D,4,0)</f>
        <v>C</v>
      </c>
      <c r="E50" s="28">
        <v>46167</v>
      </c>
      <c r="F50" s="28">
        <f t="array" ref="F50">_xlfn.IFS(G50="EM15",EOMONTH(E50,0)+15, G50="EM30",EOMONTH(E50,0)+30, G50="EM45",EOMONTH(E50,0)+45, G50="EM60",EOMONTH(E50,0)+60, G50="EM90",EOMONTH(E50,0)+90, G50="OA15",E50+15, G50="OA30",E50+30, G50="OA60",E50+60)</f>
        <v>46197</v>
      </c>
      <c r="G50" s="2" t="str">
        <f>VLOOKUP(C50,Vendor_list!A:D,3,0)</f>
        <v>OA30</v>
      </c>
      <c r="H50" s="3">
        <v>231000</v>
      </c>
      <c r="I50" s="4" t="s">
        <v>218</v>
      </c>
      <c r="J50" s="5" t="s">
        <v>219</v>
      </c>
      <c r="K50" s="8">
        <v>46213</v>
      </c>
      <c r="L50" s="6">
        <f>IF(J50="Paid",K50,IF(J50="Open",F50,F50+INDEX(Vendor_list!$F$2:$F$16,MATCH(B50,Vendor_list!$B$2:$B$16,0))*Weekly_Cash_Flow_Summary!$B$9))</f>
        <v>46213</v>
      </c>
    </row>
    <row r="51" spans="1:12" ht="15" customHeight="1" x14ac:dyDescent="0.2">
      <c r="A51" s="2" t="s">
        <v>279</v>
      </c>
      <c r="B51" s="2" t="str">
        <f>VLOOKUP(C51,Vendor_list!A:D,2,0)</f>
        <v>V00010</v>
      </c>
      <c r="C51" s="2" t="s">
        <v>242</v>
      </c>
      <c r="D51" s="2" t="str">
        <f>VLOOKUP(C51,Vendor_list!A:D,4,0)</f>
        <v>C</v>
      </c>
      <c r="E51" s="28">
        <v>46137</v>
      </c>
      <c r="F51" s="28">
        <f t="array" ref="F51">_xlfn.IFS(G51="EM15",EOMONTH(E51,0)+15, G51="EM30",EOMONTH(E51,0)+30, G51="EM45",EOMONTH(E51,0)+45, G51="EM60",EOMONTH(E51,0)+60, G51="EM90",EOMONTH(E51,0)+90, G51="OA15",E51+15, G51="OA30",E51+30, G51="OA60",E51+60)</f>
        <v>46152</v>
      </c>
      <c r="G51" s="2" t="str">
        <f>VLOOKUP(C51,Vendor_list!A:D,3,0)</f>
        <v>OA15</v>
      </c>
      <c r="H51" s="3">
        <v>33000</v>
      </c>
      <c r="I51" s="4" t="s">
        <v>225</v>
      </c>
      <c r="J51" s="5" t="s">
        <v>219</v>
      </c>
      <c r="K51" s="8">
        <v>46167</v>
      </c>
      <c r="L51" s="6">
        <f>IF(J51="Paid",K51,IF(J51="Open",F51,F51+INDEX(Vendor_list!$F$2:$F$16,MATCH(B51,Vendor_list!$B$2:$B$16,0))*Weekly_Cash_Flow_Summary!$B$9))</f>
        <v>46167</v>
      </c>
    </row>
    <row r="52" spans="1:12" ht="15" customHeight="1" x14ac:dyDescent="0.2">
      <c r="A52" s="2" t="s">
        <v>280</v>
      </c>
      <c r="B52" s="2" t="str">
        <f>VLOOKUP(C52,Vendor_list!A:D,2,0)</f>
        <v>V00013</v>
      </c>
      <c r="C52" s="2" t="s">
        <v>264</v>
      </c>
      <c r="D52" s="2" t="str">
        <f>VLOOKUP(C52,Vendor_list!A:D,4,0)</f>
        <v>B</v>
      </c>
      <c r="E52" s="28">
        <v>46142</v>
      </c>
      <c r="F52" s="28">
        <f t="array" ref="F52">_xlfn.IFS(G52="EM15",EOMONTH(E52,0)+15, G52="EM30",EOMONTH(E52,0)+30, G52="EM45",EOMONTH(E52,0)+45, G52="EM60",EOMONTH(E52,0)+60, G52="EM90",EOMONTH(E52,0)+90, G52="OA15",E52+15, G52="OA30",E52+30, G52="OA60",E52+60)</f>
        <v>46172</v>
      </c>
      <c r="G52" s="2" t="str">
        <f>VLOOKUP(C52,Vendor_list!A:D,3,0)</f>
        <v>OA30</v>
      </c>
      <c r="H52" s="3">
        <v>141500</v>
      </c>
      <c r="I52" s="4" t="s">
        <v>225</v>
      </c>
      <c r="J52" s="5" t="s">
        <v>219</v>
      </c>
      <c r="K52" s="8">
        <v>46198</v>
      </c>
      <c r="L52" s="6">
        <f>IF(J52="Paid",K52,IF(J52="Open",F52,F52+INDEX(Vendor_list!$F$2:$F$16,MATCH(B52,Vendor_list!$B$2:$B$16,0))*Weekly_Cash_Flow_Summary!$B$9))</f>
        <v>46198</v>
      </c>
    </row>
    <row r="53" spans="1:12" ht="15" customHeight="1" x14ac:dyDescent="0.2">
      <c r="A53" s="2" t="s">
        <v>281</v>
      </c>
      <c r="B53" s="2" t="str">
        <f>VLOOKUP(C53,Vendor_list!A:D,2,0)</f>
        <v>V00005</v>
      </c>
      <c r="C53" s="2" t="s">
        <v>240</v>
      </c>
      <c r="D53" s="2" t="str">
        <f>VLOOKUP(C53,Vendor_list!A:D,4,0)</f>
        <v>A</v>
      </c>
      <c r="E53" s="28">
        <v>46210</v>
      </c>
      <c r="F53" s="28">
        <f t="array" ref="F53">_xlfn.IFS(G53="EM15",EOMONTH(E53,0)+15, G53="EM30",EOMONTH(E53,0)+30, G53="EM45",EOMONTH(E53,0)+45, G53="EM60",EOMONTH(E53,0)+60, G53="EM90",EOMONTH(E53,0)+90, G53="OA15",E53+15, G53="OA30",E53+30, G53="OA60",E53+60)</f>
        <v>46249</v>
      </c>
      <c r="G53" s="2" t="str">
        <f>VLOOKUP(C53,Vendor_list!A:D,3,0)</f>
        <v>EM15</v>
      </c>
      <c r="H53" s="3">
        <v>163000</v>
      </c>
      <c r="I53" s="4" t="s">
        <v>213</v>
      </c>
      <c r="J53" s="5" t="s">
        <v>37</v>
      </c>
      <c r="K53" s="5"/>
      <c r="L53" s="6">
        <f>IF(J53="Paid",K53,IF(J53="Open",F53,F53+INDEX(Vendor_list!$F$2:$F$16,MATCH(B53,Vendor_list!$B$2:$B$16,0))*Weekly_Cash_Flow_Summary!$B$9))</f>
        <v>46249</v>
      </c>
    </row>
    <row r="54" spans="1:12" ht="15" customHeight="1" x14ac:dyDescent="0.2">
      <c r="A54" s="2" t="s">
        <v>282</v>
      </c>
      <c r="B54" s="2" t="str">
        <f>VLOOKUP(C54,Vendor_list!A:D,2,0)</f>
        <v>V00013</v>
      </c>
      <c r="C54" s="2" t="s">
        <v>264</v>
      </c>
      <c r="D54" s="2" t="str">
        <f>VLOOKUP(C54,Vendor_list!A:D,4,0)</f>
        <v>B</v>
      </c>
      <c r="E54" s="28">
        <v>46139</v>
      </c>
      <c r="F54" s="28">
        <f t="array" ref="F54">_xlfn.IFS(G54="EM15",EOMONTH(E54,0)+15, G54="EM30",EOMONTH(E54,0)+30, G54="EM45",EOMONTH(E54,0)+45, G54="EM60",EOMONTH(E54,0)+60, G54="EM90",EOMONTH(E54,0)+90, G54="OA15",E54+15, G54="OA30",E54+30, G54="OA60",E54+60)</f>
        <v>46169</v>
      </c>
      <c r="G54" s="2" t="str">
        <f>VLOOKUP(C54,Vendor_list!A:D,3,0)</f>
        <v>OA30</v>
      </c>
      <c r="H54" s="3">
        <v>57500</v>
      </c>
      <c r="I54" s="4" t="s">
        <v>225</v>
      </c>
      <c r="J54" s="5" t="s">
        <v>219</v>
      </c>
      <c r="K54" s="8">
        <v>46198</v>
      </c>
      <c r="L54" s="6">
        <f>IF(J54="Paid",K54,IF(J54="Open",F54,F54+INDEX(Vendor_list!$F$2:$F$16,MATCH(B54,Vendor_list!$B$2:$B$16,0))*Weekly_Cash_Flow_Summary!$B$9))</f>
        <v>46198</v>
      </c>
    </row>
    <row r="55" spans="1:12" ht="15" customHeight="1" x14ac:dyDescent="0.2">
      <c r="A55" s="2" t="s">
        <v>283</v>
      </c>
      <c r="B55" s="2" t="str">
        <f>VLOOKUP(C55,Vendor_list!A:D,2,0)</f>
        <v>V00014</v>
      </c>
      <c r="C55" s="2" t="s">
        <v>227</v>
      </c>
      <c r="D55" s="2" t="str">
        <f>VLOOKUP(C55,Vendor_list!A:D,4,0)</f>
        <v>C</v>
      </c>
      <c r="E55" s="28">
        <v>46165</v>
      </c>
      <c r="F55" s="28">
        <f t="array" ref="F55">_xlfn.IFS(G55="EM15",EOMONTH(E55,0)+15, G55="EM30",EOMONTH(E55,0)+30, G55="EM45",EOMONTH(E55,0)+45, G55="EM60",EOMONTH(E55,0)+60, G55="EM90",EOMONTH(E55,0)+90, G55="OA15",E55+15, G55="OA30",E55+30, G55="OA60",E55+60)</f>
        <v>46180</v>
      </c>
      <c r="G55" s="2" t="str">
        <f>VLOOKUP(C55,Vendor_list!A:D,3,0)</f>
        <v>OA15</v>
      </c>
      <c r="H55" s="3">
        <v>177500</v>
      </c>
      <c r="I55" s="4" t="s">
        <v>225</v>
      </c>
      <c r="J55" s="5" t="s">
        <v>219</v>
      </c>
      <c r="K55" s="8">
        <v>46198</v>
      </c>
      <c r="L55" s="6">
        <f>IF(J55="Paid",K55,IF(J55="Open",F55,F55+INDEX(Vendor_list!$F$2:$F$16,MATCH(B55,Vendor_list!$B$2:$B$16,0))*Weekly_Cash_Flow_Summary!$B$9))</f>
        <v>46198</v>
      </c>
    </row>
    <row r="56" spans="1:12" ht="15" customHeight="1" x14ac:dyDescent="0.2">
      <c r="A56" s="2" t="s">
        <v>284</v>
      </c>
      <c r="B56" s="2" t="str">
        <f>VLOOKUP(C56,Vendor_list!A:D,2,0)</f>
        <v>V00011</v>
      </c>
      <c r="C56" s="2" t="s">
        <v>215</v>
      </c>
      <c r="D56" s="2" t="str">
        <f>VLOOKUP(C56,Vendor_list!A:D,4,0)</f>
        <v>C</v>
      </c>
      <c r="E56" s="28">
        <v>46134</v>
      </c>
      <c r="F56" s="28">
        <f t="array" ref="F56">_xlfn.IFS(G56="EM15",EOMONTH(E56,0)+15, G56="EM30",EOMONTH(E56,0)+30, G56="EM45",EOMONTH(E56,0)+45, G56="EM60",EOMONTH(E56,0)+60, G56="EM90",EOMONTH(E56,0)+90, G56="OA15",E56+15, G56="OA30",E56+30, G56="OA60",E56+60)</f>
        <v>46232</v>
      </c>
      <c r="G56" s="2" t="str">
        <f>VLOOKUP(C56,Vendor_list!A:D,3,0)</f>
        <v>EM90</v>
      </c>
      <c r="H56" s="3">
        <v>200000</v>
      </c>
      <c r="I56" s="4" t="s">
        <v>213</v>
      </c>
      <c r="J56" s="5" t="s">
        <v>47</v>
      </c>
      <c r="K56" s="5"/>
      <c r="L56" s="6">
        <f>IF(J56="Paid",K56,IF(J56="Open",F56,F56+INDEX(Vendor_list!$F$2:$F$16,MATCH(B56,Vendor_list!$B$2:$B$16,0))*Weekly_Cash_Flow_Summary!$B$9))</f>
        <v>46234</v>
      </c>
    </row>
    <row r="57" spans="1:12" ht="15" customHeight="1" x14ac:dyDescent="0.2">
      <c r="A57" s="2" t="s">
        <v>285</v>
      </c>
      <c r="B57" s="2" t="str">
        <f>VLOOKUP(C57,Vendor_list!A:D,2,0)</f>
        <v>V00015</v>
      </c>
      <c r="C57" s="2" t="s">
        <v>254</v>
      </c>
      <c r="D57" s="2" t="str">
        <f>VLOOKUP(C57,Vendor_list!A:D,4,0)</f>
        <v>C</v>
      </c>
      <c r="E57" s="28">
        <v>46152</v>
      </c>
      <c r="F57" s="28">
        <f t="array" ref="F57">_xlfn.IFS(G57="EM15",EOMONTH(E57,0)+15, G57="EM30",EOMONTH(E57,0)+30, G57="EM45",EOMONTH(E57,0)+45, G57="EM60",EOMONTH(E57,0)+60, G57="EM90",EOMONTH(E57,0)+90, G57="OA15",E57+15, G57="OA30",E57+30, G57="OA60",E57+60)</f>
        <v>46212</v>
      </c>
      <c r="G57" s="2" t="str">
        <f>VLOOKUP(C57,Vendor_list!A:D,3,0)</f>
        <v>OA60</v>
      </c>
      <c r="H57" s="3">
        <v>120000</v>
      </c>
      <c r="I57" s="4" t="s">
        <v>225</v>
      </c>
      <c r="J57" s="5" t="s">
        <v>47</v>
      </c>
      <c r="K57" s="5"/>
      <c r="L57" s="6">
        <f>IF(J57="Paid",K57,IF(J57="Open",F57,F57+INDEX(Vendor_list!$F$2:$F$16,MATCH(B57,Vendor_list!$B$2:$B$16,0))*Weekly_Cash_Flow_Summary!$B$9))</f>
        <v>46227</v>
      </c>
    </row>
    <row r="58" spans="1:12" ht="15" customHeight="1" x14ac:dyDescent="0.2">
      <c r="A58" s="2" t="s">
        <v>286</v>
      </c>
      <c r="B58" s="2" t="str">
        <f>VLOOKUP(C58,Vendor_list!A:D,2,0)</f>
        <v>V00003</v>
      </c>
      <c r="C58" s="2" t="s">
        <v>217</v>
      </c>
      <c r="D58" s="2" t="str">
        <f>VLOOKUP(C58,Vendor_list!A:D,4,0)</f>
        <v>C</v>
      </c>
      <c r="E58" s="28">
        <v>46155</v>
      </c>
      <c r="F58" s="28">
        <f t="array" ref="F58">_xlfn.IFS(G58="EM15",EOMONTH(E58,0)+15, G58="EM30",EOMONTH(E58,0)+30, G58="EM45",EOMONTH(E58,0)+45, G58="EM60",EOMONTH(E58,0)+60, G58="EM90",EOMONTH(E58,0)+90, G58="OA15",E58+15, G58="OA30",E58+30, G58="OA60",E58+60)</f>
        <v>46185</v>
      </c>
      <c r="G58" s="2" t="str">
        <f>VLOOKUP(C58,Vendor_list!A:D,3,0)</f>
        <v>OA30</v>
      </c>
      <c r="H58" s="3">
        <v>131000</v>
      </c>
      <c r="I58" s="4" t="s">
        <v>218</v>
      </c>
      <c r="J58" s="5" t="s">
        <v>219</v>
      </c>
      <c r="K58" s="8">
        <v>46198</v>
      </c>
      <c r="L58" s="6">
        <f>IF(J58="Paid",K58,IF(J58="Open",F58,F58+INDEX(Vendor_list!$F$2:$F$16,MATCH(B58,Vendor_list!$B$2:$B$16,0))*Weekly_Cash_Flow_Summary!$B$9))</f>
        <v>46198</v>
      </c>
    </row>
    <row r="59" spans="1:12" ht="15" customHeight="1" x14ac:dyDescent="0.2">
      <c r="A59" s="2" t="s">
        <v>287</v>
      </c>
      <c r="B59" s="2" t="str">
        <f>VLOOKUP(C59,Vendor_list!A:D,2,0)</f>
        <v>V00011</v>
      </c>
      <c r="C59" s="2" t="s">
        <v>215</v>
      </c>
      <c r="D59" s="2" t="str">
        <f>VLOOKUP(C59,Vendor_list!A:D,4,0)</f>
        <v>C</v>
      </c>
      <c r="E59" s="28">
        <v>46219</v>
      </c>
      <c r="F59" s="28">
        <f t="array" ref="F59">_xlfn.IFS(G59="EM15",EOMONTH(E59,0)+15, G59="EM30",EOMONTH(E59,0)+30, G59="EM45",EOMONTH(E59,0)+45, G59="EM60",EOMONTH(E59,0)+60, G59="EM90",EOMONTH(E59,0)+90, G59="OA15",E59+15, G59="OA30",E59+30, G59="OA60",E59+60)</f>
        <v>46324</v>
      </c>
      <c r="G59" s="2" t="str">
        <f>VLOOKUP(C59,Vendor_list!A:D,3,0)</f>
        <v>EM90</v>
      </c>
      <c r="H59" s="3">
        <v>243500</v>
      </c>
      <c r="I59" s="4" t="s">
        <v>213</v>
      </c>
      <c r="J59" s="5" t="s">
        <v>37</v>
      </c>
      <c r="K59" s="5"/>
      <c r="L59" s="6">
        <f>IF(J59="Paid",K59,IF(J59="Open",F59,F59+INDEX(Vendor_list!$F$2:$F$16,MATCH(B59,Vendor_list!$B$2:$B$16,0))*Weekly_Cash_Flow_Summary!$B$9))</f>
        <v>46324</v>
      </c>
    </row>
    <row r="60" spans="1:12" ht="15" customHeight="1" x14ac:dyDescent="0.2">
      <c r="A60" s="2" t="s">
        <v>288</v>
      </c>
      <c r="B60" s="2" t="str">
        <f>VLOOKUP(C60,Vendor_list!A:D,2,0)</f>
        <v>V00013</v>
      </c>
      <c r="C60" s="2" t="s">
        <v>264</v>
      </c>
      <c r="D60" s="2" t="str">
        <f>VLOOKUP(C60,Vendor_list!A:D,4,0)</f>
        <v>B</v>
      </c>
      <c r="E60" s="28">
        <v>46114</v>
      </c>
      <c r="F60" s="28">
        <f t="array" ref="F60">_xlfn.IFS(G60="EM15",EOMONTH(E60,0)+15, G60="EM30",EOMONTH(E60,0)+30, G60="EM45",EOMONTH(E60,0)+45, G60="EM60",EOMONTH(E60,0)+60, G60="EM90",EOMONTH(E60,0)+90, G60="OA15",E60+15, G60="OA30",E60+30, G60="OA60",E60+60)</f>
        <v>46144</v>
      </c>
      <c r="G60" s="2" t="str">
        <f>VLOOKUP(C60,Vendor_list!A:D,3,0)</f>
        <v>OA30</v>
      </c>
      <c r="H60" s="3">
        <v>262500</v>
      </c>
      <c r="I60" s="4" t="s">
        <v>225</v>
      </c>
      <c r="J60" s="5" t="s">
        <v>47</v>
      </c>
      <c r="K60" s="5"/>
      <c r="L60" s="6">
        <f>IF(J60="Paid",K60,IF(J60="Open",F60,F60+INDEX(Vendor_list!$F$2:$F$16,MATCH(B60,Vendor_list!$B$2:$B$16,0))*Weekly_Cash_Flow_Summary!$B$9))</f>
        <v>46159</v>
      </c>
    </row>
    <row r="61" spans="1:12" ht="15" customHeight="1" x14ac:dyDescent="0.2">
      <c r="A61" s="2" t="s">
        <v>289</v>
      </c>
      <c r="B61" s="2" t="str">
        <f>VLOOKUP(C61,Vendor_list!A:D,2,0)</f>
        <v>V00002</v>
      </c>
      <c r="C61" s="2" t="s">
        <v>212</v>
      </c>
      <c r="D61" s="2" t="str">
        <f>VLOOKUP(C61,Vendor_list!A:D,4,0)</f>
        <v>C</v>
      </c>
      <c r="E61" s="28">
        <v>46126</v>
      </c>
      <c r="F61" s="28">
        <f t="array" ref="F61">_xlfn.IFS(G61="EM15",EOMONTH(E61,0)+15, G61="EM30",EOMONTH(E61,0)+30, G61="EM45",EOMONTH(E61,0)+45, G61="EM60",EOMONTH(E61,0)+60, G61="EM90",EOMONTH(E61,0)+90, G61="OA15",E61+15, G61="OA30",E61+30, G61="OA60",E61+60)</f>
        <v>46232</v>
      </c>
      <c r="G61" s="2" t="str">
        <f>VLOOKUP(C61,Vendor_list!A:D,3,0)</f>
        <v>EM90</v>
      </c>
      <c r="H61" s="3">
        <v>216500</v>
      </c>
      <c r="I61" s="4" t="s">
        <v>213</v>
      </c>
      <c r="J61" s="5" t="s">
        <v>47</v>
      </c>
      <c r="K61" s="5"/>
      <c r="L61" s="6">
        <f>IF(J61="Paid",K61,IF(J61="Open",F61,F61+INDEX(Vendor_list!$F$2:$F$16,MATCH(B61,Vendor_list!$B$2:$B$16,0))*Weekly_Cash_Flow_Summary!$B$9))</f>
        <v>46234</v>
      </c>
    </row>
    <row r="62" spans="1:12" ht="15" customHeight="1" x14ac:dyDescent="0.2">
      <c r="A62" s="2" t="s">
        <v>290</v>
      </c>
      <c r="B62" s="2" t="str">
        <f>VLOOKUP(C62,Vendor_list!A:D,2,0)</f>
        <v>V00002</v>
      </c>
      <c r="C62" s="2" t="s">
        <v>212</v>
      </c>
      <c r="D62" s="2" t="str">
        <f>VLOOKUP(C62,Vendor_list!A:D,4,0)</f>
        <v>C</v>
      </c>
      <c r="E62" s="28">
        <v>46218</v>
      </c>
      <c r="F62" s="28">
        <f t="array" ref="F62">_xlfn.IFS(G62="EM15",EOMONTH(E62,0)+15, G62="EM30",EOMONTH(E62,0)+30, G62="EM45",EOMONTH(E62,0)+45, G62="EM60",EOMONTH(E62,0)+60, G62="EM90",EOMONTH(E62,0)+90, G62="OA15",E62+15, G62="OA30",E62+30, G62="OA60",E62+60)</f>
        <v>46324</v>
      </c>
      <c r="G62" s="2" t="str">
        <f>VLOOKUP(C62,Vendor_list!A:D,3,0)</f>
        <v>EM90</v>
      </c>
      <c r="H62" s="3">
        <v>285000</v>
      </c>
      <c r="I62" s="4" t="s">
        <v>213</v>
      </c>
      <c r="J62" s="5" t="s">
        <v>37</v>
      </c>
      <c r="K62" s="5"/>
      <c r="L62" s="6">
        <f>IF(J62="Paid",K62,IF(J62="Open",F62,F62+INDEX(Vendor_list!$F$2:$F$16,MATCH(B62,Vendor_list!$B$2:$B$16,0))*Weekly_Cash_Flow_Summary!$B$9))</f>
        <v>46324</v>
      </c>
    </row>
    <row r="63" spans="1:12" ht="15" customHeight="1" x14ac:dyDescent="0.2">
      <c r="A63" s="2" t="s">
        <v>291</v>
      </c>
      <c r="B63" s="2" t="str">
        <f>VLOOKUP(C63,Vendor_list!A:D,2,0)</f>
        <v>V00013</v>
      </c>
      <c r="C63" s="2" t="s">
        <v>264</v>
      </c>
      <c r="D63" s="2" t="str">
        <f>VLOOKUP(C63,Vendor_list!A:D,4,0)</f>
        <v>B</v>
      </c>
      <c r="E63" s="28">
        <v>46232</v>
      </c>
      <c r="F63" s="28">
        <f t="array" ref="F63">_xlfn.IFS(G63="EM15",EOMONTH(E63,0)+15, G63="EM30",EOMONTH(E63,0)+30, G63="EM45",EOMONTH(E63,0)+45, G63="EM60",EOMONTH(E63,0)+60, G63="EM90",EOMONTH(E63,0)+90, G63="OA15",E63+15, G63="OA30",E63+30, G63="OA60",E63+60)</f>
        <v>46262</v>
      </c>
      <c r="G63" s="2" t="str">
        <f>VLOOKUP(C63,Vendor_list!A:D,3,0)</f>
        <v>OA30</v>
      </c>
      <c r="H63" s="3">
        <v>86000</v>
      </c>
      <c r="I63" s="4" t="s">
        <v>225</v>
      </c>
      <c r="J63" s="5" t="s">
        <v>37</v>
      </c>
      <c r="K63" s="5"/>
      <c r="L63" s="6">
        <f>IF(J63="Paid",K63,IF(J63="Open",F63,F63+INDEX(Vendor_list!$F$2:$F$16,MATCH(B63,Vendor_list!$B$2:$B$16,0))*Weekly_Cash_Flow_Summary!$B$9))</f>
        <v>46262</v>
      </c>
    </row>
    <row r="64" spans="1:12" ht="15" customHeight="1" x14ac:dyDescent="0.2">
      <c r="A64" s="2" t="s">
        <v>292</v>
      </c>
      <c r="B64" s="2" t="str">
        <f>VLOOKUP(C64,Vendor_list!A:D,2,0)</f>
        <v>V00012</v>
      </c>
      <c r="C64" s="2" t="s">
        <v>224</v>
      </c>
      <c r="D64" s="2" t="str">
        <f>VLOOKUP(C64,Vendor_list!A:D,4,0)</f>
        <v>B</v>
      </c>
      <c r="E64" s="28">
        <v>46165</v>
      </c>
      <c r="F64" s="28">
        <f t="array" ref="F64">_xlfn.IFS(G64="EM15",EOMONTH(E64,0)+15, G64="EM30",EOMONTH(E64,0)+30, G64="EM45",EOMONTH(E64,0)+45, G64="EM60",EOMONTH(E64,0)+60, G64="EM90",EOMONTH(E64,0)+90, G64="OA15",E64+15, G64="OA30",E64+30, G64="OA60",E64+60)</f>
        <v>46180</v>
      </c>
      <c r="G64" s="2" t="str">
        <f>VLOOKUP(C64,Vendor_list!A:D,3,0)</f>
        <v>OA15</v>
      </c>
      <c r="H64" s="3">
        <v>268000</v>
      </c>
      <c r="I64" s="4" t="s">
        <v>225</v>
      </c>
      <c r="J64" s="5" t="s">
        <v>219</v>
      </c>
      <c r="K64" s="8">
        <v>46198</v>
      </c>
      <c r="L64" s="6">
        <f>IF(J64="Paid",K64,IF(J64="Open",F64,F64+INDEX(Vendor_list!$F$2:$F$16,MATCH(B64,Vendor_list!$B$2:$B$16,0))*Weekly_Cash_Flow_Summary!$B$9))</f>
        <v>46198</v>
      </c>
    </row>
    <row r="65" spans="1:12" ht="15" customHeight="1" x14ac:dyDescent="0.2">
      <c r="A65" s="2" t="s">
        <v>293</v>
      </c>
      <c r="B65" s="2" t="str">
        <f>VLOOKUP(C65,Vendor_list!A:D,2,0)</f>
        <v>V00008</v>
      </c>
      <c r="C65" s="2" t="s">
        <v>245</v>
      </c>
      <c r="D65" s="2" t="str">
        <f>VLOOKUP(C65,Vendor_list!A:D,4,0)</f>
        <v>C</v>
      </c>
      <c r="E65" s="28">
        <v>46152</v>
      </c>
      <c r="F65" s="28">
        <f t="array" ref="F65">_xlfn.IFS(G65="EM15",EOMONTH(E65,0)+15, G65="EM30",EOMONTH(E65,0)+30, G65="EM45",EOMONTH(E65,0)+45, G65="EM60",EOMONTH(E65,0)+60, G65="EM90",EOMONTH(E65,0)+90, G65="OA15",E65+15, G65="OA30",E65+30, G65="OA60",E65+60)</f>
        <v>46233</v>
      </c>
      <c r="G65" s="2" t="str">
        <f>VLOOKUP(C65,Vendor_list!A:D,3,0)</f>
        <v>EM60</v>
      </c>
      <c r="H65" s="3">
        <v>163000</v>
      </c>
      <c r="I65" s="4" t="s">
        <v>218</v>
      </c>
      <c r="J65" s="5" t="s">
        <v>37</v>
      </c>
      <c r="K65" s="5"/>
      <c r="L65" s="6">
        <f>IF(J65="Paid",K65,IF(J65="Open",F65,F65+INDEX(Vendor_list!$F$2:$F$16,MATCH(B65,Vendor_list!$B$2:$B$16,0))*Weekly_Cash_Flow_Summary!$B$9))</f>
        <v>46233</v>
      </c>
    </row>
    <row r="66" spans="1:12" ht="15" customHeight="1" x14ac:dyDescent="0.2">
      <c r="A66" s="2" t="s">
        <v>294</v>
      </c>
      <c r="B66" s="2" t="str">
        <f>VLOOKUP(C66,Vendor_list!A:D,2,0)</f>
        <v>V00004</v>
      </c>
      <c r="C66" s="2" t="s">
        <v>235</v>
      </c>
      <c r="D66" s="2" t="str">
        <f>VLOOKUP(C66,Vendor_list!A:D,4,0)</f>
        <v>B</v>
      </c>
      <c r="E66" s="28">
        <v>46154</v>
      </c>
      <c r="F66" s="28">
        <f t="array" ref="F66">_xlfn.IFS(G66="EM15",EOMONTH(E66,0)+15, G66="EM30",EOMONTH(E66,0)+30, G66="EM45",EOMONTH(E66,0)+45, G66="EM60",EOMONTH(E66,0)+60, G66="EM90",EOMONTH(E66,0)+90, G66="OA15",E66+15, G66="OA30",E66+30, G66="OA60",E66+60)</f>
        <v>46263</v>
      </c>
      <c r="G66" s="2" t="str">
        <f>VLOOKUP(C66,Vendor_list!A:D,3,0)</f>
        <v>EM90</v>
      </c>
      <c r="H66" s="3">
        <v>62000</v>
      </c>
      <c r="I66" s="4" t="s">
        <v>218</v>
      </c>
      <c r="J66" s="5" t="s">
        <v>37</v>
      </c>
      <c r="K66" s="5"/>
      <c r="L66" s="6">
        <f>IF(J66="Paid",K66,IF(J66="Open",F66,F66+INDEX(Vendor_list!$F$2:$F$16,MATCH(B66,Vendor_list!$B$2:$B$16,0))*Weekly_Cash_Flow_Summary!$B$9))</f>
        <v>46263</v>
      </c>
    </row>
    <row r="67" spans="1:12" ht="15" customHeight="1" x14ac:dyDescent="0.2">
      <c r="A67" s="2" t="s">
        <v>295</v>
      </c>
      <c r="B67" s="2" t="str">
        <f>VLOOKUP(C67,Vendor_list!A:D,2,0)</f>
        <v>V00013</v>
      </c>
      <c r="C67" s="2" t="s">
        <v>264</v>
      </c>
      <c r="D67" s="2" t="str">
        <f>VLOOKUP(C67,Vendor_list!A:D,4,0)</f>
        <v>B</v>
      </c>
      <c r="E67" s="28">
        <v>46159</v>
      </c>
      <c r="F67" s="28">
        <f t="array" ref="F67">_xlfn.IFS(G67="EM15",EOMONTH(E67,0)+15, G67="EM30",EOMONTH(E67,0)+30, G67="EM45",EOMONTH(E67,0)+45, G67="EM60",EOMONTH(E67,0)+60, G67="EM90",EOMONTH(E67,0)+90, G67="OA15",E67+15, G67="OA30",E67+30, G67="OA60",E67+60)</f>
        <v>46189</v>
      </c>
      <c r="G67" s="2" t="str">
        <f>VLOOKUP(C67,Vendor_list!A:D,3,0)</f>
        <v>OA30</v>
      </c>
      <c r="H67" s="3">
        <v>162500</v>
      </c>
      <c r="I67" s="4" t="s">
        <v>225</v>
      </c>
      <c r="J67" s="5" t="s">
        <v>219</v>
      </c>
      <c r="K67" s="8">
        <v>46213</v>
      </c>
      <c r="L67" s="6">
        <f>IF(J67="Paid",K67,IF(J67="Open",F67,F67+INDEX(Vendor_list!$F$2:$F$16,MATCH(B67,Vendor_list!$B$2:$B$16,0))*Weekly_Cash_Flow_Summary!$B$9))</f>
        <v>46213</v>
      </c>
    </row>
    <row r="68" spans="1:12" ht="15" customHeight="1" x14ac:dyDescent="0.2">
      <c r="A68" s="2" t="s">
        <v>296</v>
      </c>
      <c r="B68" s="2" t="str">
        <f>VLOOKUP(C68,Vendor_list!A:D,2,0)</f>
        <v>V00007</v>
      </c>
      <c r="C68" s="2" t="s">
        <v>221</v>
      </c>
      <c r="D68" s="2" t="str">
        <f>VLOOKUP(C68,Vendor_list!A:D,4,0)</f>
        <v>A</v>
      </c>
      <c r="E68" s="28">
        <v>46192</v>
      </c>
      <c r="F68" s="28">
        <f t="array" ref="F68">_xlfn.IFS(G68="EM15",EOMONTH(E68,0)+15, G68="EM30",EOMONTH(E68,0)+30, G68="EM45",EOMONTH(E68,0)+45, G68="EM60",EOMONTH(E68,0)+60, G68="EM90",EOMONTH(E68,0)+90, G68="OA15",E68+15, G68="OA30",E68+30, G68="OA60",E68+60)</f>
        <v>46207</v>
      </c>
      <c r="G68" s="2" t="str">
        <f>VLOOKUP(C68,Vendor_list!A:D,3,0)</f>
        <v>OA15</v>
      </c>
      <c r="H68" s="3">
        <v>245500</v>
      </c>
      <c r="I68" s="4" t="s">
        <v>213</v>
      </c>
      <c r="J68" s="5" t="s">
        <v>219</v>
      </c>
      <c r="K68" s="8">
        <v>46213</v>
      </c>
      <c r="L68" s="6">
        <f>IF(J68="Paid",K68,IF(J68="Open",F68,F68+INDEX(Vendor_list!$F$2:$F$16,MATCH(B68,Vendor_list!$B$2:$B$16,0))*Weekly_Cash_Flow_Summary!$B$9))</f>
        <v>46213</v>
      </c>
    </row>
    <row r="69" spans="1:12" ht="15" customHeight="1" x14ac:dyDescent="0.2">
      <c r="A69" s="2" t="s">
        <v>297</v>
      </c>
      <c r="B69" s="2" t="str">
        <f>VLOOKUP(C69,Vendor_list!A:D,2,0)</f>
        <v>V00008</v>
      </c>
      <c r="C69" s="2" t="s">
        <v>245</v>
      </c>
      <c r="D69" s="2" t="str">
        <f>VLOOKUP(C69,Vendor_list!A:D,4,0)</f>
        <v>C</v>
      </c>
      <c r="E69" s="28">
        <v>46138</v>
      </c>
      <c r="F69" s="28">
        <f t="array" ref="F69">_xlfn.IFS(G69="EM15",EOMONTH(E69,0)+15, G69="EM30",EOMONTH(E69,0)+30, G69="EM45",EOMONTH(E69,0)+45, G69="EM60",EOMONTH(E69,0)+60, G69="EM90",EOMONTH(E69,0)+90, G69="OA15",E69+15, G69="OA30",E69+30, G69="OA60",E69+60)</f>
        <v>46202</v>
      </c>
      <c r="G69" s="2" t="str">
        <f>VLOOKUP(C69,Vendor_list!A:D,3,0)</f>
        <v>EM60</v>
      </c>
      <c r="H69" s="3">
        <v>16000</v>
      </c>
      <c r="I69" s="4" t="s">
        <v>218</v>
      </c>
      <c r="J69" s="5" t="s">
        <v>219</v>
      </c>
      <c r="K69" s="8">
        <v>46213</v>
      </c>
      <c r="L69" s="6">
        <f>IF(J69="Paid",K69,IF(J69="Open",F69,F69+INDEX(Vendor_list!$F$2:$F$16,MATCH(B69,Vendor_list!$B$2:$B$16,0))*Weekly_Cash_Flow_Summary!$B$9))</f>
        <v>46213</v>
      </c>
    </row>
    <row r="70" spans="1:12" ht="15" customHeight="1" x14ac:dyDescent="0.2">
      <c r="A70" s="2" t="s">
        <v>298</v>
      </c>
      <c r="B70" s="2" t="str">
        <f>VLOOKUP(C70,Vendor_list!A:D,2,0)</f>
        <v>V00005</v>
      </c>
      <c r="C70" s="2" t="s">
        <v>240</v>
      </c>
      <c r="D70" s="2" t="str">
        <f>VLOOKUP(C70,Vendor_list!A:D,4,0)</f>
        <v>A</v>
      </c>
      <c r="E70" s="28">
        <v>46143</v>
      </c>
      <c r="F70" s="28">
        <f t="array" ref="F70">_xlfn.IFS(G70="EM15",EOMONTH(E70,0)+15, G70="EM30",EOMONTH(E70,0)+30, G70="EM45",EOMONTH(E70,0)+45, G70="EM60",EOMONTH(E70,0)+60, G70="EM90",EOMONTH(E70,0)+90, G70="OA15",E70+15, G70="OA30",E70+30, G70="OA60",E70+60)</f>
        <v>46188</v>
      </c>
      <c r="G70" s="2" t="str">
        <f>VLOOKUP(C70,Vendor_list!A:D,3,0)</f>
        <v>EM15</v>
      </c>
      <c r="H70" s="3">
        <v>186000</v>
      </c>
      <c r="I70" s="4" t="s">
        <v>213</v>
      </c>
      <c r="J70" s="5" t="s">
        <v>219</v>
      </c>
      <c r="K70" s="8">
        <v>46198</v>
      </c>
      <c r="L70" s="6">
        <f>IF(J70="Paid",K70,IF(J70="Open",F70,F70+INDEX(Vendor_list!$F$2:$F$16,MATCH(B70,Vendor_list!$B$2:$B$16,0))*Weekly_Cash_Flow_Summary!$B$9))</f>
        <v>46198</v>
      </c>
    </row>
    <row r="71" spans="1:12" ht="15" customHeight="1" x14ac:dyDescent="0.2">
      <c r="A71" s="2" t="s">
        <v>299</v>
      </c>
      <c r="B71" s="2" t="str">
        <f>VLOOKUP(C71,Vendor_list!A:D,2,0)</f>
        <v>V00008</v>
      </c>
      <c r="C71" s="2" t="s">
        <v>245</v>
      </c>
      <c r="D71" s="2" t="str">
        <f>VLOOKUP(C71,Vendor_list!A:D,4,0)</f>
        <v>C</v>
      </c>
      <c r="E71" s="28">
        <v>46172</v>
      </c>
      <c r="F71" s="28">
        <f t="array" ref="F71">_xlfn.IFS(G71="EM15",EOMONTH(E71,0)+15, G71="EM30",EOMONTH(E71,0)+30, G71="EM45",EOMONTH(E71,0)+45, G71="EM60",EOMONTH(E71,0)+60, G71="EM90",EOMONTH(E71,0)+90, G71="OA15",E71+15, G71="OA30",E71+30, G71="OA60",E71+60)</f>
        <v>46233</v>
      </c>
      <c r="G71" s="2" t="str">
        <f>VLOOKUP(C71,Vendor_list!A:D,3,0)</f>
        <v>EM60</v>
      </c>
      <c r="H71" s="3">
        <v>219500</v>
      </c>
      <c r="I71" s="4" t="s">
        <v>218</v>
      </c>
      <c r="J71" s="5" t="s">
        <v>37</v>
      </c>
      <c r="K71" s="5"/>
      <c r="L71" s="6">
        <f>IF(J71="Paid",K71,IF(J71="Open",F71,F71+INDEX(Vendor_list!$F$2:$F$16,MATCH(B71,Vendor_list!$B$2:$B$16,0))*Weekly_Cash_Flow_Summary!$B$9))</f>
        <v>46233</v>
      </c>
    </row>
    <row r="72" spans="1:12" ht="15" customHeight="1" x14ac:dyDescent="0.2">
      <c r="A72" s="2" t="s">
        <v>300</v>
      </c>
      <c r="B72" s="2" t="str">
        <f>VLOOKUP(C72,Vendor_list!A:D,2,0)</f>
        <v>V00013</v>
      </c>
      <c r="C72" s="2" t="s">
        <v>264</v>
      </c>
      <c r="D72" s="2" t="str">
        <f>VLOOKUP(C72,Vendor_list!A:D,4,0)</f>
        <v>B</v>
      </c>
      <c r="E72" s="28">
        <v>46135</v>
      </c>
      <c r="F72" s="28">
        <f t="array" ref="F72">_xlfn.IFS(G72="EM15",EOMONTH(E72,0)+15, G72="EM30",EOMONTH(E72,0)+30, G72="EM45",EOMONTH(E72,0)+45, G72="EM60",EOMONTH(E72,0)+60, G72="EM90",EOMONTH(E72,0)+90, G72="OA15",E72+15, G72="OA30",E72+30, G72="OA60",E72+60)</f>
        <v>46165</v>
      </c>
      <c r="G72" s="2" t="str">
        <f>VLOOKUP(C72,Vendor_list!A:D,3,0)</f>
        <v>OA30</v>
      </c>
      <c r="H72" s="3">
        <v>110000</v>
      </c>
      <c r="I72" s="4" t="s">
        <v>225</v>
      </c>
      <c r="J72" s="5" t="s">
        <v>219</v>
      </c>
      <c r="K72" s="8">
        <v>46183</v>
      </c>
      <c r="L72" s="6">
        <f>IF(J72="Paid",K72,IF(J72="Open",F72,F72+INDEX(Vendor_list!$F$2:$F$16,MATCH(B72,Vendor_list!$B$2:$B$16,0))*Weekly_Cash_Flow_Summary!$B$9))</f>
        <v>46183</v>
      </c>
    </row>
    <row r="73" spans="1:12" ht="15" customHeight="1" x14ac:dyDescent="0.2">
      <c r="A73" s="2" t="s">
        <v>301</v>
      </c>
      <c r="B73" s="2" t="str">
        <f>VLOOKUP(C73,Vendor_list!A:D,2,0)</f>
        <v>V00008</v>
      </c>
      <c r="C73" s="2" t="s">
        <v>245</v>
      </c>
      <c r="D73" s="2" t="str">
        <f>VLOOKUP(C73,Vendor_list!A:D,4,0)</f>
        <v>C</v>
      </c>
      <c r="E73" s="28">
        <v>46220</v>
      </c>
      <c r="F73" s="28">
        <f t="array" ref="F73">_xlfn.IFS(G73="EM15",EOMONTH(E73,0)+15, G73="EM30",EOMONTH(E73,0)+30, G73="EM45",EOMONTH(E73,0)+45, G73="EM60",EOMONTH(E73,0)+60, G73="EM90",EOMONTH(E73,0)+90, G73="OA15",E73+15, G73="OA30",E73+30, G73="OA60",E73+60)</f>
        <v>46294</v>
      </c>
      <c r="G73" s="2" t="str">
        <f>VLOOKUP(C73,Vendor_list!A:D,3,0)</f>
        <v>EM60</v>
      </c>
      <c r="H73" s="3">
        <v>224000</v>
      </c>
      <c r="I73" s="4" t="s">
        <v>218</v>
      </c>
      <c r="J73" s="5" t="s">
        <v>37</v>
      </c>
      <c r="K73" s="5"/>
      <c r="L73" s="6">
        <f>IF(J73="Paid",K73,IF(J73="Open",F73,F73+INDEX(Vendor_list!$F$2:$F$16,MATCH(B73,Vendor_list!$B$2:$B$16,0))*Weekly_Cash_Flow_Summary!$B$9))</f>
        <v>46294</v>
      </c>
    </row>
    <row r="74" spans="1:12" ht="15" customHeight="1" x14ac:dyDescent="0.2">
      <c r="A74" s="2" t="s">
        <v>302</v>
      </c>
      <c r="B74" s="2" t="str">
        <f>VLOOKUP(C74,Vendor_list!A:D,2,0)</f>
        <v>V00015</v>
      </c>
      <c r="C74" s="2" t="s">
        <v>254</v>
      </c>
      <c r="D74" s="2" t="str">
        <f>VLOOKUP(C74,Vendor_list!A:D,4,0)</f>
        <v>C</v>
      </c>
      <c r="E74" s="28">
        <v>46134</v>
      </c>
      <c r="F74" s="28">
        <f t="array" ref="F74">_xlfn.IFS(G74="EM15",EOMONTH(E74,0)+15, G74="EM30",EOMONTH(E74,0)+30, G74="EM45",EOMONTH(E74,0)+45, G74="EM60",EOMONTH(E74,0)+60, G74="EM90",EOMONTH(E74,0)+90, G74="OA15",E74+15, G74="OA30",E74+30, G74="OA60",E74+60)</f>
        <v>46194</v>
      </c>
      <c r="G74" s="2" t="str">
        <f>VLOOKUP(C74,Vendor_list!A:D,3,0)</f>
        <v>OA60</v>
      </c>
      <c r="H74" s="3">
        <v>217000</v>
      </c>
      <c r="I74" s="4" t="s">
        <v>225</v>
      </c>
      <c r="J74" s="5" t="s">
        <v>219</v>
      </c>
      <c r="K74" s="8">
        <v>46213</v>
      </c>
      <c r="L74" s="6">
        <f>IF(J74="Paid",K74,IF(J74="Open",F74,F74+INDEX(Vendor_list!$F$2:$F$16,MATCH(B74,Vendor_list!$B$2:$B$16,0))*Weekly_Cash_Flow_Summary!$B$9))</f>
        <v>46213</v>
      </c>
    </row>
    <row r="75" spans="1:12" ht="15" customHeight="1" x14ac:dyDescent="0.2">
      <c r="A75" s="2" t="s">
        <v>303</v>
      </c>
      <c r="B75" s="2" t="str">
        <f>VLOOKUP(C75,Vendor_list!A:D,2,0)</f>
        <v>V00010</v>
      </c>
      <c r="C75" s="2" t="s">
        <v>242</v>
      </c>
      <c r="D75" s="2" t="str">
        <f>VLOOKUP(C75,Vendor_list!A:D,4,0)</f>
        <v>C</v>
      </c>
      <c r="E75" s="28">
        <v>46141</v>
      </c>
      <c r="F75" s="28">
        <f t="array" ref="F75">_xlfn.IFS(G75="EM15",EOMONTH(E75,0)+15, G75="EM30",EOMONTH(E75,0)+30, G75="EM45",EOMONTH(E75,0)+45, G75="EM60",EOMONTH(E75,0)+60, G75="EM90",EOMONTH(E75,0)+90, G75="OA15",E75+15, G75="OA30",E75+30, G75="OA60",E75+60)</f>
        <v>46156</v>
      </c>
      <c r="G75" s="2" t="str">
        <f>VLOOKUP(C75,Vendor_list!A:D,3,0)</f>
        <v>OA15</v>
      </c>
      <c r="H75" s="3">
        <v>33500</v>
      </c>
      <c r="I75" s="4" t="s">
        <v>225</v>
      </c>
      <c r="J75" s="5" t="s">
        <v>219</v>
      </c>
      <c r="K75" s="8">
        <v>46183</v>
      </c>
      <c r="L75" s="6">
        <f>IF(J75="Paid",K75,IF(J75="Open",F75,F75+INDEX(Vendor_list!$F$2:$F$16,MATCH(B75,Vendor_list!$B$2:$B$16,0))*Weekly_Cash_Flow_Summary!$B$9))</f>
        <v>46183</v>
      </c>
    </row>
    <row r="76" spans="1:12" ht="15" customHeight="1" x14ac:dyDescent="0.2">
      <c r="A76" s="2" t="s">
        <v>304</v>
      </c>
      <c r="B76" s="2" t="str">
        <f>VLOOKUP(C76,Vendor_list!A:D,2,0)</f>
        <v>V00013</v>
      </c>
      <c r="C76" s="2" t="s">
        <v>264</v>
      </c>
      <c r="D76" s="2" t="str">
        <f>VLOOKUP(C76,Vendor_list!A:D,4,0)</f>
        <v>B</v>
      </c>
      <c r="E76" s="28">
        <v>46152</v>
      </c>
      <c r="F76" s="28">
        <f t="array" ref="F76">_xlfn.IFS(G76="EM15",EOMONTH(E76,0)+15, G76="EM30",EOMONTH(E76,0)+30, G76="EM45",EOMONTH(E76,0)+45, G76="EM60",EOMONTH(E76,0)+60, G76="EM90",EOMONTH(E76,0)+90, G76="OA15",E76+15, G76="OA30",E76+30, G76="OA60",E76+60)</f>
        <v>46182</v>
      </c>
      <c r="G76" s="2" t="str">
        <f>VLOOKUP(C76,Vendor_list!A:D,3,0)</f>
        <v>OA30</v>
      </c>
      <c r="H76" s="3">
        <v>207000</v>
      </c>
      <c r="I76" s="4" t="s">
        <v>225</v>
      </c>
      <c r="J76" s="5" t="s">
        <v>47</v>
      </c>
      <c r="K76" s="5"/>
      <c r="L76" s="6">
        <f>IF(J76="Paid",K76,IF(J76="Open",F76,F76+INDEX(Vendor_list!$F$2:$F$16,MATCH(B76,Vendor_list!$B$2:$B$16,0))*Weekly_Cash_Flow_Summary!$B$9))</f>
        <v>46197</v>
      </c>
    </row>
    <row r="77" spans="1:12" ht="15" customHeight="1" x14ac:dyDescent="0.2">
      <c r="A77" s="2" t="s">
        <v>305</v>
      </c>
      <c r="B77" s="2" t="str">
        <f>VLOOKUP(C77,Vendor_list!A:D,2,0)</f>
        <v>V00011</v>
      </c>
      <c r="C77" s="2" t="s">
        <v>215</v>
      </c>
      <c r="D77" s="2" t="str">
        <f>VLOOKUP(C77,Vendor_list!A:D,4,0)</f>
        <v>C</v>
      </c>
      <c r="E77" s="28">
        <v>46183</v>
      </c>
      <c r="F77" s="28">
        <f t="array" ref="F77">_xlfn.IFS(G77="EM15",EOMONTH(E77,0)+15, G77="EM30",EOMONTH(E77,0)+30, G77="EM45",EOMONTH(E77,0)+45, G77="EM60",EOMONTH(E77,0)+60, G77="EM90",EOMONTH(E77,0)+90, G77="OA15",E77+15, G77="OA30",E77+30, G77="OA60",E77+60)</f>
        <v>46293</v>
      </c>
      <c r="G77" s="2" t="str">
        <f>VLOOKUP(C77,Vendor_list!A:D,3,0)</f>
        <v>EM90</v>
      </c>
      <c r="H77" s="3">
        <v>225000</v>
      </c>
      <c r="I77" s="4" t="s">
        <v>213</v>
      </c>
      <c r="J77" s="5" t="s">
        <v>37</v>
      </c>
      <c r="K77" s="5"/>
      <c r="L77" s="6">
        <f>IF(J77="Paid",K77,IF(J77="Open",F77,F77+INDEX(Vendor_list!$F$2:$F$16,MATCH(B77,Vendor_list!$B$2:$B$16,0))*Weekly_Cash_Flow_Summary!$B$9))</f>
        <v>46293</v>
      </c>
    </row>
    <row r="78" spans="1:12" ht="15" customHeight="1" x14ac:dyDescent="0.2">
      <c r="A78" s="2" t="s">
        <v>306</v>
      </c>
      <c r="B78" s="2" t="str">
        <f>VLOOKUP(C78,Vendor_list!A:D,2,0)</f>
        <v>V00006</v>
      </c>
      <c r="C78" s="2" t="s">
        <v>237</v>
      </c>
      <c r="D78" s="2" t="str">
        <f>VLOOKUP(C78,Vendor_list!A:D,4,0)</f>
        <v>B</v>
      </c>
      <c r="E78" s="28">
        <v>46133</v>
      </c>
      <c r="F78" s="28">
        <f t="array" ref="F78">_xlfn.IFS(G78="EM15",EOMONTH(E78,0)+15, G78="EM30",EOMONTH(E78,0)+30, G78="EM45",EOMONTH(E78,0)+45, G78="EM60",EOMONTH(E78,0)+60, G78="EM90",EOMONTH(E78,0)+90, G78="OA15",E78+15, G78="OA30",E78+30, G78="OA60",E78+60)</f>
        <v>46148</v>
      </c>
      <c r="G78" s="2" t="str">
        <f>VLOOKUP(C78,Vendor_list!A:D,3,0)</f>
        <v>OA15</v>
      </c>
      <c r="H78" s="3">
        <v>204000</v>
      </c>
      <c r="I78" s="4" t="s">
        <v>218</v>
      </c>
      <c r="J78" s="5" t="s">
        <v>219</v>
      </c>
      <c r="K78" s="8">
        <v>46167</v>
      </c>
      <c r="L78" s="6">
        <f>IF(J78="Paid",K78,IF(J78="Open",F78,F78+INDEX(Vendor_list!$F$2:$F$16,MATCH(B78,Vendor_list!$B$2:$B$16,0))*Weekly_Cash_Flow_Summary!$B$9))</f>
        <v>46167</v>
      </c>
    </row>
    <row r="79" spans="1:12" ht="15" customHeight="1" x14ac:dyDescent="0.2">
      <c r="A79" s="2" t="s">
        <v>307</v>
      </c>
      <c r="B79" s="2" t="str">
        <f>VLOOKUP(C79,Vendor_list!A:D,2,0)</f>
        <v>V00014</v>
      </c>
      <c r="C79" s="2" t="s">
        <v>227</v>
      </c>
      <c r="D79" s="2" t="str">
        <f>VLOOKUP(C79,Vendor_list!A:D,4,0)</f>
        <v>C</v>
      </c>
      <c r="E79" s="28">
        <v>46169</v>
      </c>
      <c r="F79" s="28">
        <f t="array" ref="F79">_xlfn.IFS(G79="EM15",EOMONTH(E79,0)+15, G79="EM30",EOMONTH(E79,0)+30, G79="EM45",EOMONTH(E79,0)+45, G79="EM60",EOMONTH(E79,0)+60, G79="EM90",EOMONTH(E79,0)+90, G79="OA15",E79+15, G79="OA30",E79+30, G79="OA60",E79+60)</f>
        <v>46184</v>
      </c>
      <c r="G79" s="2" t="str">
        <f>VLOOKUP(C79,Vendor_list!A:D,3,0)</f>
        <v>OA15</v>
      </c>
      <c r="H79" s="3">
        <v>221000</v>
      </c>
      <c r="I79" s="4" t="s">
        <v>225</v>
      </c>
      <c r="J79" s="5" t="s">
        <v>219</v>
      </c>
      <c r="K79" s="8">
        <v>46213</v>
      </c>
      <c r="L79" s="6">
        <f>IF(J79="Paid",K79,IF(J79="Open",F79,F79+INDEX(Vendor_list!$F$2:$F$16,MATCH(B79,Vendor_list!$B$2:$B$16,0))*Weekly_Cash_Flow_Summary!$B$9))</f>
        <v>46213</v>
      </c>
    </row>
    <row r="80" spans="1:12" ht="15" customHeight="1" x14ac:dyDescent="0.2">
      <c r="A80" s="2" t="s">
        <v>308</v>
      </c>
      <c r="B80" s="2" t="str">
        <f>VLOOKUP(C80,Vendor_list!A:D,2,0)</f>
        <v>V00015</v>
      </c>
      <c r="C80" s="2" t="s">
        <v>254</v>
      </c>
      <c r="D80" s="2" t="str">
        <f>VLOOKUP(C80,Vendor_list!A:D,4,0)</f>
        <v>C</v>
      </c>
      <c r="E80" s="28">
        <v>46139</v>
      </c>
      <c r="F80" s="28">
        <f t="array" ref="F80">_xlfn.IFS(G80="EM15",EOMONTH(E80,0)+15, G80="EM30",EOMONTH(E80,0)+30, G80="EM45",EOMONTH(E80,0)+45, G80="EM60",EOMONTH(E80,0)+60, G80="EM90",EOMONTH(E80,0)+90, G80="OA15",E80+15, G80="OA30",E80+30, G80="OA60",E80+60)</f>
        <v>46199</v>
      </c>
      <c r="G80" s="2" t="str">
        <f>VLOOKUP(C80,Vendor_list!A:D,3,0)</f>
        <v>OA60</v>
      </c>
      <c r="H80" s="3">
        <v>226000</v>
      </c>
      <c r="I80" s="4" t="s">
        <v>225</v>
      </c>
      <c r="J80" s="5" t="s">
        <v>47</v>
      </c>
      <c r="K80" s="5"/>
      <c r="L80" s="6">
        <f>IF(J80="Paid",K80,IF(J80="Open",F80,F80+INDEX(Vendor_list!$F$2:$F$16,MATCH(B80,Vendor_list!$B$2:$B$16,0))*Weekly_Cash_Flow_Summary!$B$9))</f>
        <v>46214</v>
      </c>
    </row>
    <row r="81" spans="1:12" ht="15" customHeight="1" x14ac:dyDescent="0.2">
      <c r="A81" s="2" t="s">
        <v>309</v>
      </c>
      <c r="B81" s="2" t="str">
        <f>VLOOKUP(C81,Vendor_list!A:D,2,0)</f>
        <v>V00014</v>
      </c>
      <c r="C81" s="2" t="s">
        <v>227</v>
      </c>
      <c r="D81" s="2" t="str">
        <f>VLOOKUP(C81,Vendor_list!A:D,4,0)</f>
        <v>C</v>
      </c>
      <c r="E81" s="28">
        <v>46151</v>
      </c>
      <c r="F81" s="28">
        <f t="array" ref="F81">_xlfn.IFS(G81="EM15",EOMONTH(E81,0)+15, G81="EM30",EOMONTH(E81,0)+30, G81="EM45",EOMONTH(E81,0)+45, G81="EM60",EOMONTH(E81,0)+60, G81="EM90",EOMONTH(E81,0)+90, G81="OA15",E81+15, G81="OA30",E81+30, G81="OA60",E81+60)</f>
        <v>46166</v>
      </c>
      <c r="G81" s="2" t="str">
        <f>VLOOKUP(C81,Vendor_list!A:D,3,0)</f>
        <v>OA15</v>
      </c>
      <c r="H81" s="3">
        <v>189500</v>
      </c>
      <c r="I81" s="4" t="s">
        <v>225</v>
      </c>
      <c r="J81" s="5" t="s">
        <v>219</v>
      </c>
      <c r="K81" s="8">
        <v>46183</v>
      </c>
      <c r="L81" s="6">
        <f>IF(J81="Paid",K81,IF(J81="Open",F81,F81+INDEX(Vendor_list!$F$2:$F$16,MATCH(B81,Vendor_list!$B$2:$B$16,0))*Weekly_Cash_Flow_Summary!$B$9))</f>
        <v>46183</v>
      </c>
    </row>
    <row r="82" spans="1:12" ht="15" customHeight="1" x14ac:dyDescent="0.2">
      <c r="A82" s="2" t="s">
        <v>310</v>
      </c>
      <c r="B82" s="2" t="str">
        <f>VLOOKUP(C82,Vendor_list!A:D,2,0)</f>
        <v>V00012</v>
      </c>
      <c r="C82" s="2" t="s">
        <v>224</v>
      </c>
      <c r="D82" s="2" t="str">
        <f>VLOOKUP(C82,Vendor_list!A:D,4,0)</f>
        <v>B</v>
      </c>
      <c r="E82" s="28">
        <v>46194</v>
      </c>
      <c r="F82" s="28">
        <f t="array" ref="F82">_xlfn.IFS(G82="EM15",EOMONTH(E82,0)+15, G82="EM30",EOMONTH(E82,0)+30, G82="EM45",EOMONTH(E82,0)+45, G82="EM60",EOMONTH(E82,0)+60, G82="EM90",EOMONTH(E82,0)+90, G82="OA15",E82+15, G82="OA30",E82+30, G82="OA60",E82+60)</f>
        <v>46209</v>
      </c>
      <c r="G82" s="2" t="str">
        <f>VLOOKUP(C82,Vendor_list!A:D,3,0)</f>
        <v>OA15</v>
      </c>
      <c r="H82" s="3">
        <v>98500</v>
      </c>
      <c r="I82" s="4" t="s">
        <v>225</v>
      </c>
      <c r="J82" s="5" t="s">
        <v>219</v>
      </c>
      <c r="K82" s="8">
        <v>46228</v>
      </c>
      <c r="L82" s="6">
        <f>IF(J82="Paid",K82,IF(J82="Open",F82,F82+INDEX(Vendor_list!$F$2:$F$16,MATCH(B82,Vendor_list!$B$2:$B$16,0))*Weekly_Cash_Flow_Summary!$B$9))</f>
        <v>46228</v>
      </c>
    </row>
    <row r="83" spans="1:12" ht="15" customHeight="1" x14ac:dyDescent="0.2">
      <c r="A83" s="2" t="s">
        <v>311</v>
      </c>
      <c r="B83" s="2" t="str">
        <f>VLOOKUP(C83,Vendor_list!A:D,2,0)</f>
        <v>V00006</v>
      </c>
      <c r="C83" s="2" t="s">
        <v>237</v>
      </c>
      <c r="D83" s="2" t="str">
        <f>VLOOKUP(C83,Vendor_list!A:D,4,0)</f>
        <v>B</v>
      </c>
      <c r="E83" s="28">
        <v>46129</v>
      </c>
      <c r="F83" s="28">
        <f t="array" ref="F83">_xlfn.IFS(G83="EM15",EOMONTH(E83,0)+15, G83="EM30",EOMONTH(E83,0)+30, G83="EM45",EOMONTH(E83,0)+45, G83="EM60",EOMONTH(E83,0)+60, G83="EM90",EOMONTH(E83,0)+90, G83="OA15",E83+15, G83="OA30",E83+30, G83="OA60",E83+60)</f>
        <v>46144</v>
      </c>
      <c r="G83" s="2" t="str">
        <f>VLOOKUP(C83,Vendor_list!A:D,3,0)</f>
        <v>OA15</v>
      </c>
      <c r="H83" s="3">
        <v>210500</v>
      </c>
      <c r="I83" s="4" t="s">
        <v>218</v>
      </c>
      <c r="J83" s="5" t="s">
        <v>219</v>
      </c>
      <c r="K83" s="8">
        <v>46152</v>
      </c>
      <c r="L83" s="6">
        <f>IF(J83="Paid",K83,IF(J83="Open",F83,F83+INDEX(Vendor_list!$F$2:$F$16,MATCH(B83,Vendor_list!$B$2:$B$16,0))*Weekly_Cash_Flow_Summary!$B$9))</f>
        <v>46152</v>
      </c>
    </row>
    <row r="84" spans="1:12" ht="15" customHeight="1" x14ac:dyDescent="0.2">
      <c r="A84" s="2" t="s">
        <v>312</v>
      </c>
      <c r="B84" s="2" t="str">
        <f>VLOOKUP(C84,Vendor_list!A:D,2,0)</f>
        <v>V00009</v>
      </c>
      <c r="C84" s="2" t="s">
        <v>233</v>
      </c>
      <c r="D84" s="2" t="str">
        <f>VLOOKUP(C84,Vendor_list!A:D,4,0)</f>
        <v>B</v>
      </c>
      <c r="E84" s="28">
        <v>46218</v>
      </c>
      <c r="F84" s="28">
        <f t="array" ref="F84">_xlfn.IFS(G84="EM15",EOMONTH(E84,0)+15, G84="EM30",EOMONTH(E84,0)+30, G84="EM45",EOMONTH(E84,0)+45, G84="EM60",EOMONTH(E84,0)+60, G84="EM90",EOMONTH(E84,0)+90, G84="OA15",E84+15, G84="OA30",E84+30, G84="OA60",E84+60)</f>
        <v>46278</v>
      </c>
      <c r="G84" s="2" t="str">
        <f>VLOOKUP(C84,Vendor_list!A:D,3,0)</f>
        <v>OA60</v>
      </c>
      <c r="H84" s="3">
        <v>173000</v>
      </c>
      <c r="I84" s="4" t="s">
        <v>218</v>
      </c>
      <c r="J84" s="5" t="s">
        <v>37</v>
      </c>
      <c r="K84" s="5"/>
      <c r="L84" s="6">
        <f>IF(J84="Paid",K84,IF(J84="Open",F84,F84+INDEX(Vendor_list!$F$2:$F$16,MATCH(B84,Vendor_list!$B$2:$B$16,0))*Weekly_Cash_Flow_Summary!$B$9))</f>
        <v>46278</v>
      </c>
    </row>
    <row r="85" spans="1:12" ht="15" customHeight="1" x14ac:dyDescent="0.2">
      <c r="A85" s="2" t="s">
        <v>313</v>
      </c>
      <c r="B85" s="2" t="str">
        <f>VLOOKUP(C85,Vendor_list!A:D,2,0)</f>
        <v>V00008</v>
      </c>
      <c r="C85" s="2" t="s">
        <v>245</v>
      </c>
      <c r="D85" s="2" t="str">
        <f>VLOOKUP(C85,Vendor_list!A:D,4,0)</f>
        <v>C</v>
      </c>
      <c r="E85" s="28">
        <v>46202</v>
      </c>
      <c r="F85" s="28">
        <f t="array" ref="F85">_xlfn.IFS(G85="EM15",EOMONTH(E85,0)+15, G85="EM30",EOMONTH(E85,0)+30, G85="EM45",EOMONTH(E85,0)+45, G85="EM60",EOMONTH(E85,0)+60, G85="EM90",EOMONTH(E85,0)+90, G85="OA15",E85+15, G85="OA30",E85+30, G85="OA60",E85+60)</f>
        <v>46263</v>
      </c>
      <c r="G85" s="2" t="str">
        <f>VLOOKUP(C85,Vendor_list!A:D,3,0)</f>
        <v>EM60</v>
      </c>
      <c r="H85" s="3">
        <v>275000</v>
      </c>
      <c r="I85" s="4" t="s">
        <v>218</v>
      </c>
      <c r="J85" s="5" t="s">
        <v>37</v>
      </c>
      <c r="K85" s="5"/>
      <c r="L85" s="6">
        <f>IF(J85="Paid",K85,IF(J85="Open",F85,F85+INDEX(Vendor_list!$F$2:$F$16,MATCH(B85,Vendor_list!$B$2:$B$16,0))*Weekly_Cash_Flow_Summary!$B$9))</f>
        <v>46263</v>
      </c>
    </row>
    <row r="86" spans="1:12" ht="15" customHeight="1" x14ac:dyDescent="0.2">
      <c r="A86" s="2" t="s">
        <v>314</v>
      </c>
      <c r="B86" s="2" t="str">
        <f>VLOOKUP(C86,Vendor_list!A:D,2,0)</f>
        <v>V00011</v>
      </c>
      <c r="C86" s="2" t="s">
        <v>215</v>
      </c>
      <c r="D86" s="2" t="str">
        <f>VLOOKUP(C86,Vendor_list!A:D,4,0)</f>
        <v>C</v>
      </c>
      <c r="E86" s="28">
        <v>46204</v>
      </c>
      <c r="F86" s="28">
        <f t="array" ref="F86">_xlfn.IFS(G86="EM15",EOMONTH(E86,0)+15, G86="EM30",EOMONTH(E86,0)+30, G86="EM45",EOMONTH(E86,0)+45, G86="EM60",EOMONTH(E86,0)+60, G86="EM90",EOMONTH(E86,0)+90, G86="OA15",E86+15, G86="OA30",E86+30, G86="OA60",E86+60)</f>
        <v>46324</v>
      </c>
      <c r="G86" s="2" t="str">
        <f>VLOOKUP(C86,Vendor_list!A:D,3,0)</f>
        <v>EM90</v>
      </c>
      <c r="H86" s="3">
        <v>185000</v>
      </c>
      <c r="I86" s="4" t="s">
        <v>213</v>
      </c>
      <c r="J86" s="5" t="s">
        <v>37</v>
      </c>
      <c r="K86" s="5"/>
      <c r="L86" s="6">
        <f>IF(J86="Paid",K86,IF(J86="Open",F86,F86+INDEX(Vendor_list!$F$2:$F$16,MATCH(B86,Vendor_list!$B$2:$B$16,0))*Weekly_Cash_Flow_Summary!$B$9))</f>
        <v>46324</v>
      </c>
    </row>
    <row r="87" spans="1:12" ht="15" customHeight="1" x14ac:dyDescent="0.2">
      <c r="A87" s="2" t="s">
        <v>315</v>
      </c>
      <c r="B87" s="2" t="str">
        <f>VLOOKUP(C87,Vendor_list!A:D,2,0)</f>
        <v>V00003</v>
      </c>
      <c r="C87" s="2" t="s">
        <v>217</v>
      </c>
      <c r="D87" s="2" t="str">
        <f>VLOOKUP(C87,Vendor_list!A:D,4,0)</f>
        <v>C</v>
      </c>
      <c r="E87" s="28">
        <v>46166</v>
      </c>
      <c r="F87" s="28">
        <f t="array" ref="F87">_xlfn.IFS(G87="EM15",EOMONTH(E87,0)+15, G87="EM30",EOMONTH(E87,0)+30, G87="EM45",EOMONTH(E87,0)+45, G87="EM60",EOMONTH(E87,0)+60, G87="EM90",EOMONTH(E87,0)+90, G87="OA15",E87+15, G87="OA30",E87+30, G87="OA60",E87+60)</f>
        <v>46196</v>
      </c>
      <c r="G87" s="2" t="str">
        <f>VLOOKUP(C87,Vendor_list!A:D,3,0)</f>
        <v>OA30</v>
      </c>
      <c r="H87" s="3">
        <v>228500</v>
      </c>
      <c r="I87" s="4" t="s">
        <v>218</v>
      </c>
      <c r="J87" s="5" t="s">
        <v>47</v>
      </c>
      <c r="K87" s="5"/>
      <c r="L87" s="6">
        <f>IF(J87="Paid",K87,IF(J87="Open",F87,F87+INDEX(Vendor_list!$F$2:$F$16,MATCH(B87,Vendor_list!$B$2:$B$16,0))*Weekly_Cash_Flow_Summary!$B$9))</f>
        <v>46203</v>
      </c>
    </row>
    <row r="88" spans="1:12" ht="15" customHeight="1" x14ac:dyDescent="0.2">
      <c r="A88" s="2" t="s">
        <v>316</v>
      </c>
      <c r="B88" s="2" t="str">
        <f>VLOOKUP(C88,Vendor_list!A:D,2,0)</f>
        <v>V00014</v>
      </c>
      <c r="C88" s="2" t="s">
        <v>227</v>
      </c>
      <c r="D88" s="2" t="str">
        <f>VLOOKUP(C88,Vendor_list!A:D,4,0)</f>
        <v>C</v>
      </c>
      <c r="E88" s="28">
        <v>46218</v>
      </c>
      <c r="F88" s="28">
        <f t="array" ref="F88">_xlfn.IFS(G88="EM15",EOMONTH(E88,0)+15, G88="EM30",EOMONTH(E88,0)+30, G88="EM45",EOMONTH(E88,0)+45, G88="EM60",EOMONTH(E88,0)+60, G88="EM90",EOMONTH(E88,0)+90, G88="OA15",E88+15, G88="OA30",E88+30, G88="OA60",E88+60)</f>
        <v>46233</v>
      </c>
      <c r="G88" s="2" t="str">
        <f>VLOOKUP(C88,Vendor_list!A:D,3,0)</f>
        <v>OA15</v>
      </c>
      <c r="H88" s="3">
        <v>235000</v>
      </c>
      <c r="I88" s="4" t="s">
        <v>225</v>
      </c>
      <c r="J88" s="5" t="s">
        <v>37</v>
      </c>
      <c r="K88" s="5"/>
      <c r="L88" s="6">
        <f>IF(J88="Paid",K88,IF(J88="Open",F88,F88+INDEX(Vendor_list!$F$2:$F$16,MATCH(B88,Vendor_list!$B$2:$B$16,0))*Weekly_Cash_Flow_Summary!$B$9))</f>
        <v>46233</v>
      </c>
    </row>
    <row r="89" spans="1:12" ht="15" customHeight="1" x14ac:dyDescent="0.2">
      <c r="A89" s="2" t="s">
        <v>317</v>
      </c>
      <c r="B89" s="2" t="str">
        <f>VLOOKUP(C89,Vendor_list!A:D,2,0)</f>
        <v>V00001</v>
      </c>
      <c r="C89" s="2" t="s">
        <v>231</v>
      </c>
      <c r="D89" s="2" t="str">
        <f>VLOOKUP(C89,Vendor_list!A:D,4,0)</f>
        <v>A</v>
      </c>
      <c r="E89" s="28">
        <v>46173</v>
      </c>
      <c r="F89" s="28">
        <f t="array" ref="F89">_xlfn.IFS(G89="EM15",EOMONTH(E89,0)+15, G89="EM30",EOMONTH(E89,0)+30, G89="EM45",EOMONTH(E89,0)+45, G89="EM60",EOMONTH(E89,0)+60, G89="EM90",EOMONTH(E89,0)+90, G89="OA15",E89+15, G89="OA30",E89+30, G89="OA60",E89+60)</f>
        <v>46203</v>
      </c>
      <c r="G89" s="2" t="str">
        <f>VLOOKUP(C89,Vendor_list!A:D,3,0)</f>
        <v>OA30</v>
      </c>
      <c r="H89" s="3">
        <v>123000</v>
      </c>
      <c r="I89" s="4" t="s">
        <v>213</v>
      </c>
      <c r="J89" s="5" t="s">
        <v>219</v>
      </c>
      <c r="K89" s="8">
        <v>46213</v>
      </c>
      <c r="L89" s="6">
        <f>IF(J89="Paid",K89,IF(J89="Open",F89,F89+INDEX(Vendor_list!$F$2:$F$16,MATCH(B89,Vendor_list!$B$2:$B$16,0))*Weekly_Cash_Flow_Summary!$B$9))</f>
        <v>46213</v>
      </c>
    </row>
    <row r="90" spans="1:12" ht="15" customHeight="1" x14ac:dyDescent="0.2">
      <c r="A90" s="2" t="s">
        <v>318</v>
      </c>
      <c r="B90" s="2" t="str">
        <f>VLOOKUP(C90,Vendor_list!A:D,2,0)</f>
        <v>V00008</v>
      </c>
      <c r="C90" s="2" t="s">
        <v>245</v>
      </c>
      <c r="D90" s="2" t="str">
        <f>VLOOKUP(C90,Vendor_list!A:D,4,0)</f>
        <v>C</v>
      </c>
      <c r="E90" s="28">
        <v>46187</v>
      </c>
      <c r="F90" s="28">
        <f t="array" ref="F90">_xlfn.IFS(G90="EM15",EOMONTH(E90,0)+15, G90="EM30",EOMONTH(E90,0)+30, G90="EM45",EOMONTH(E90,0)+45, G90="EM60",EOMONTH(E90,0)+60, G90="EM90",EOMONTH(E90,0)+90, G90="OA15",E90+15, G90="OA30",E90+30, G90="OA60",E90+60)</f>
        <v>46263</v>
      </c>
      <c r="G90" s="2" t="str">
        <f>VLOOKUP(C90,Vendor_list!A:D,3,0)</f>
        <v>EM60</v>
      </c>
      <c r="H90" s="3">
        <v>190000</v>
      </c>
      <c r="I90" s="4" t="s">
        <v>218</v>
      </c>
      <c r="J90" s="5" t="s">
        <v>37</v>
      </c>
      <c r="K90" s="5"/>
      <c r="L90" s="6">
        <f>IF(J90="Paid",K90,IF(J90="Open",F90,F90+INDEX(Vendor_list!$F$2:$F$16,MATCH(B90,Vendor_list!$B$2:$B$16,0))*Weekly_Cash_Flow_Summary!$B$9))</f>
        <v>46263</v>
      </c>
    </row>
    <row r="91" spans="1:12" ht="15" customHeight="1" x14ac:dyDescent="0.2">
      <c r="A91" s="2" t="s">
        <v>319</v>
      </c>
      <c r="B91" s="2" t="str">
        <f>VLOOKUP(C91,Vendor_list!A:D,2,0)</f>
        <v>V00009</v>
      </c>
      <c r="C91" s="2" t="s">
        <v>233</v>
      </c>
      <c r="D91" s="2" t="str">
        <f>VLOOKUP(C91,Vendor_list!A:D,4,0)</f>
        <v>B</v>
      </c>
      <c r="E91" s="28">
        <v>46190</v>
      </c>
      <c r="F91" s="28">
        <f t="array" ref="F91">_xlfn.IFS(G91="EM15",EOMONTH(E91,0)+15, G91="EM30",EOMONTH(E91,0)+30, G91="EM45",EOMONTH(E91,0)+45, G91="EM60",EOMONTH(E91,0)+60, G91="EM90",EOMONTH(E91,0)+90, G91="OA15",E91+15, G91="OA30",E91+30, G91="OA60",E91+60)</f>
        <v>46250</v>
      </c>
      <c r="G91" s="2" t="str">
        <f>VLOOKUP(C91,Vendor_list!A:D,3,0)</f>
        <v>OA60</v>
      </c>
      <c r="H91" s="3">
        <v>82000</v>
      </c>
      <c r="I91" s="4" t="s">
        <v>218</v>
      </c>
      <c r="J91" s="5" t="s">
        <v>37</v>
      </c>
      <c r="K91" s="5"/>
      <c r="L91" s="6">
        <f>IF(J91="Paid",K91,IF(J91="Open",F91,F91+INDEX(Vendor_list!$F$2:$F$16,MATCH(B91,Vendor_list!$B$2:$B$16,0))*Weekly_Cash_Flow_Summary!$B$9))</f>
        <v>46250</v>
      </c>
    </row>
    <row r="92" spans="1:12" ht="15" customHeight="1" x14ac:dyDescent="0.2">
      <c r="A92" s="2" t="s">
        <v>320</v>
      </c>
      <c r="B92" s="2" t="str">
        <f>VLOOKUP(C92,Vendor_list!A:D,2,0)</f>
        <v>V00001</v>
      </c>
      <c r="C92" s="2" t="s">
        <v>231</v>
      </c>
      <c r="D92" s="2" t="str">
        <f>VLOOKUP(C92,Vendor_list!A:D,4,0)</f>
        <v>A</v>
      </c>
      <c r="E92" s="28">
        <v>46207</v>
      </c>
      <c r="F92" s="28">
        <f t="array" ref="F92">_xlfn.IFS(G92="EM15",EOMONTH(E92,0)+15, G92="EM30",EOMONTH(E92,0)+30, G92="EM45",EOMONTH(E92,0)+45, G92="EM60",EOMONTH(E92,0)+60, G92="EM90",EOMONTH(E92,0)+90, G92="OA15",E92+15, G92="OA30",E92+30, G92="OA60",E92+60)</f>
        <v>46237</v>
      </c>
      <c r="G92" s="2" t="str">
        <f>VLOOKUP(C92,Vendor_list!A:D,3,0)</f>
        <v>OA30</v>
      </c>
      <c r="H92" s="3">
        <v>24000</v>
      </c>
      <c r="I92" s="4" t="s">
        <v>213</v>
      </c>
      <c r="J92" s="5" t="s">
        <v>37</v>
      </c>
      <c r="K92" s="5"/>
      <c r="L92" s="6">
        <f>IF(J92="Paid",K92,IF(J92="Open",F92,F92+INDEX(Vendor_list!$F$2:$F$16,MATCH(B92,Vendor_list!$B$2:$B$16,0))*Weekly_Cash_Flow_Summary!$B$9))</f>
        <v>46237</v>
      </c>
    </row>
    <row r="93" spans="1:12" ht="15" customHeight="1" x14ac:dyDescent="0.2">
      <c r="A93" s="2" t="s">
        <v>321</v>
      </c>
      <c r="B93" s="2" t="str">
        <f>VLOOKUP(C93,Vendor_list!A:D,2,0)</f>
        <v>V00005</v>
      </c>
      <c r="C93" s="2" t="s">
        <v>240</v>
      </c>
      <c r="D93" s="2" t="str">
        <f>VLOOKUP(C93,Vendor_list!A:D,4,0)</f>
        <v>A</v>
      </c>
      <c r="E93" s="28">
        <v>46126</v>
      </c>
      <c r="F93" s="28">
        <f t="array" ref="F93">_xlfn.IFS(G93="EM15",EOMONTH(E93,0)+15, G93="EM30",EOMONTH(E93,0)+30, G93="EM45",EOMONTH(E93,0)+45, G93="EM60",EOMONTH(E93,0)+60, G93="EM90",EOMONTH(E93,0)+90, G93="OA15",E93+15, G93="OA30",E93+30, G93="OA60",E93+60)</f>
        <v>46157</v>
      </c>
      <c r="G93" s="2" t="str">
        <f>VLOOKUP(C93,Vendor_list!A:D,3,0)</f>
        <v>EM15</v>
      </c>
      <c r="H93" s="3">
        <v>112000</v>
      </c>
      <c r="I93" s="4" t="s">
        <v>213</v>
      </c>
      <c r="J93" s="5" t="s">
        <v>219</v>
      </c>
      <c r="K93" s="8">
        <v>46167</v>
      </c>
      <c r="L93" s="6">
        <f>IF(J93="Paid",K93,IF(J93="Open",F93,F93+INDEX(Vendor_list!$F$2:$F$16,MATCH(B93,Vendor_list!$B$2:$B$16,0))*Weekly_Cash_Flow_Summary!$B$9))</f>
        <v>46167</v>
      </c>
    </row>
    <row r="94" spans="1:12" ht="15" customHeight="1" x14ac:dyDescent="0.2">
      <c r="A94" s="2" t="s">
        <v>322</v>
      </c>
      <c r="B94" s="2" t="str">
        <f>VLOOKUP(C94,Vendor_list!A:D,2,0)</f>
        <v>V00014</v>
      </c>
      <c r="C94" s="2" t="s">
        <v>227</v>
      </c>
      <c r="D94" s="2" t="str">
        <f>VLOOKUP(C94,Vendor_list!A:D,4,0)</f>
        <v>C</v>
      </c>
      <c r="E94" s="28">
        <v>46164</v>
      </c>
      <c r="F94" s="28">
        <f t="array" ref="F94">_xlfn.IFS(G94="EM15",EOMONTH(E94,0)+15, G94="EM30",EOMONTH(E94,0)+30, G94="EM45",EOMONTH(E94,0)+45, G94="EM60",EOMONTH(E94,0)+60, G94="EM90",EOMONTH(E94,0)+90, G94="OA15",E94+15, G94="OA30",E94+30, G94="OA60",E94+60)</f>
        <v>46179</v>
      </c>
      <c r="G94" s="2" t="str">
        <f>VLOOKUP(C94,Vendor_list!A:D,3,0)</f>
        <v>OA15</v>
      </c>
      <c r="H94" s="3">
        <v>251000</v>
      </c>
      <c r="I94" s="4" t="s">
        <v>225</v>
      </c>
      <c r="J94" s="5" t="s">
        <v>219</v>
      </c>
      <c r="K94" s="8">
        <v>46198</v>
      </c>
      <c r="L94" s="6">
        <f>IF(J94="Paid",K94,IF(J94="Open",F94,F94+INDEX(Vendor_list!$F$2:$F$16,MATCH(B94,Vendor_list!$B$2:$B$16,0))*Weekly_Cash_Flow_Summary!$B$9))</f>
        <v>46198</v>
      </c>
    </row>
    <row r="95" spans="1:12" ht="15" customHeight="1" x14ac:dyDescent="0.2">
      <c r="A95" s="2" t="s">
        <v>323</v>
      </c>
      <c r="B95" s="2" t="str">
        <f>VLOOKUP(C95,Vendor_list!A:D,2,0)</f>
        <v>V00011</v>
      </c>
      <c r="C95" s="2" t="s">
        <v>215</v>
      </c>
      <c r="D95" s="2" t="str">
        <f>VLOOKUP(C95,Vendor_list!A:D,4,0)</f>
        <v>C</v>
      </c>
      <c r="E95" s="28">
        <v>46217</v>
      </c>
      <c r="F95" s="28">
        <f t="array" ref="F95">_xlfn.IFS(G95="EM15",EOMONTH(E95,0)+15, G95="EM30",EOMONTH(E95,0)+30, G95="EM45",EOMONTH(E95,0)+45, G95="EM60",EOMONTH(E95,0)+60, G95="EM90",EOMONTH(E95,0)+90, G95="OA15",E95+15, G95="OA30",E95+30, G95="OA60",E95+60)</f>
        <v>46324</v>
      </c>
      <c r="G95" s="2" t="str">
        <f>VLOOKUP(C95,Vendor_list!A:D,3,0)</f>
        <v>EM90</v>
      </c>
      <c r="H95" s="3">
        <v>174500</v>
      </c>
      <c r="I95" s="4" t="s">
        <v>213</v>
      </c>
      <c r="J95" s="5" t="s">
        <v>37</v>
      </c>
      <c r="K95" s="5"/>
      <c r="L95" s="6">
        <f>IF(J95="Paid",K95,IF(J95="Open",F95,F95+INDEX(Vendor_list!$F$2:$F$16,MATCH(B95,Vendor_list!$B$2:$B$16,0))*Weekly_Cash_Flow_Summary!$B$9))</f>
        <v>46324</v>
      </c>
    </row>
    <row r="96" spans="1:12" ht="15" customHeight="1" x14ac:dyDescent="0.2">
      <c r="A96" s="2" t="s">
        <v>324</v>
      </c>
      <c r="B96" s="2" t="str">
        <f>VLOOKUP(C96,Vendor_list!A:D,2,0)</f>
        <v>V00008</v>
      </c>
      <c r="C96" s="2" t="s">
        <v>245</v>
      </c>
      <c r="D96" s="2" t="str">
        <f>VLOOKUP(C96,Vendor_list!A:D,4,0)</f>
        <v>C</v>
      </c>
      <c r="E96" s="28">
        <v>46197</v>
      </c>
      <c r="F96" s="28">
        <f t="array" ref="F96">_xlfn.IFS(G96="EM15",EOMONTH(E96,0)+15, G96="EM30",EOMONTH(E96,0)+30, G96="EM45",EOMONTH(E96,0)+45, G96="EM60",EOMONTH(E96,0)+60, G96="EM90",EOMONTH(E96,0)+90, G96="OA15",E96+15, G96="OA30",E96+30, G96="OA60",E96+60)</f>
        <v>46263</v>
      </c>
      <c r="G96" s="2" t="str">
        <f>VLOOKUP(C96,Vendor_list!A:D,3,0)</f>
        <v>EM60</v>
      </c>
      <c r="H96" s="3">
        <v>123000</v>
      </c>
      <c r="I96" s="4" t="s">
        <v>218</v>
      </c>
      <c r="J96" s="5" t="s">
        <v>37</v>
      </c>
      <c r="K96" s="5"/>
      <c r="L96" s="6">
        <f>IF(J96="Paid",K96,IF(J96="Open",F96,F96+INDEX(Vendor_list!$F$2:$F$16,MATCH(B96,Vendor_list!$B$2:$B$16,0))*Weekly_Cash_Flow_Summary!$B$9))</f>
        <v>46263</v>
      </c>
    </row>
    <row r="97" spans="1:12" ht="15" customHeight="1" x14ac:dyDescent="0.2">
      <c r="A97" s="2" t="s">
        <v>325</v>
      </c>
      <c r="B97" s="2" t="str">
        <f>VLOOKUP(C97,Vendor_list!A:D,2,0)</f>
        <v>V00014</v>
      </c>
      <c r="C97" s="2" t="s">
        <v>227</v>
      </c>
      <c r="D97" s="2" t="str">
        <f>VLOOKUP(C97,Vendor_list!A:D,4,0)</f>
        <v>C</v>
      </c>
      <c r="E97" s="28">
        <v>46227</v>
      </c>
      <c r="F97" s="28">
        <f t="array" ref="F97">_xlfn.IFS(G97="EM15",EOMONTH(E97,0)+15, G97="EM30",EOMONTH(E97,0)+30, G97="EM45",EOMONTH(E97,0)+45, G97="EM60",EOMONTH(E97,0)+60, G97="EM90",EOMONTH(E97,0)+90, G97="OA15",E97+15, G97="OA30",E97+30, G97="OA60",E97+60)</f>
        <v>46242</v>
      </c>
      <c r="G97" s="2" t="str">
        <f>VLOOKUP(C97,Vendor_list!A:D,3,0)</f>
        <v>OA15</v>
      </c>
      <c r="H97" s="3">
        <v>183500</v>
      </c>
      <c r="I97" s="4" t="s">
        <v>225</v>
      </c>
      <c r="J97" s="5" t="s">
        <v>37</v>
      </c>
      <c r="K97" s="5"/>
      <c r="L97" s="6">
        <f>IF(J97="Paid",K97,IF(J97="Open",F97,F97+INDEX(Vendor_list!$F$2:$F$16,MATCH(B97,Vendor_list!$B$2:$B$16,0))*Weekly_Cash_Flow_Summary!$B$9))</f>
        <v>46242</v>
      </c>
    </row>
    <row r="98" spans="1:12" ht="15" customHeight="1" x14ac:dyDescent="0.2">
      <c r="A98" s="2" t="s">
        <v>326</v>
      </c>
      <c r="B98" s="2" t="str">
        <f>VLOOKUP(C98,Vendor_list!A:D,2,0)</f>
        <v>V00003</v>
      </c>
      <c r="C98" s="2" t="s">
        <v>217</v>
      </c>
      <c r="D98" s="2" t="str">
        <f>VLOOKUP(C98,Vendor_list!A:D,4,0)</f>
        <v>C</v>
      </c>
      <c r="E98" s="28">
        <v>46123</v>
      </c>
      <c r="F98" s="28">
        <f t="array" ref="F98">_xlfn.IFS(G98="EM15",EOMONTH(E98,0)+15, G98="EM30",EOMONTH(E98,0)+30, G98="EM45",EOMONTH(E98,0)+45, G98="EM60",EOMONTH(E98,0)+60, G98="EM90",EOMONTH(E98,0)+90, G98="OA15",E98+15, G98="OA30",E98+30, G98="OA60",E98+60)</f>
        <v>46153</v>
      </c>
      <c r="G98" s="2" t="str">
        <f>VLOOKUP(C98,Vendor_list!A:D,3,0)</f>
        <v>OA30</v>
      </c>
      <c r="H98" s="3">
        <v>252000</v>
      </c>
      <c r="I98" s="4" t="s">
        <v>218</v>
      </c>
      <c r="J98" s="5" t="s">
        <v>47</v>
      </c>
      <c r="K98" s="5"/>
      <c r="L98" s="6">
        <f>IF(J98="Paid",K98,IF(J98="Open",F98,F98+INDEX(Vendor_list!$F$2:$F$16,MATCH(B98,Vendor_list!$B$2:$B$16,0))*Weekly_Cash_Flow_Summary!$B$9))</f>
        <v>46160</v>
      </c>
    </row>
    <row r="99" spans="1:12" ht="15" customHeight="1" x14ac:dyDescent="0.2">
      <c r="A99" s="2" t="s">
        <v>327</v>
      </c>
      <c r="B99" s="2" t="str">
        <f>VLOOKUP(C99,Vendor_list!A:D,2,0)</f>
        <v>V00003</v>
      </c>
      <c r="C99" s="2" t="s">
        <v>217</v>
      </c>
      <c r="D99" s="2" t="str">
        <f>VLOOKUP(C99,Vendor_list!A:D,4,0)</f>
        <v>C</v>
      </c>
      <c r="E99" s="28">
        <v>46145</v>
      </c>
      <c r="F99" s="28">
        <f t="array" ref="F99">_xlfn.IFS(G99="EM15",EOMONTH(E99,0)+15, G99="EM30",EOMONTH(E99,0)+30, G99="EM45",EOMONTH(E99,0)+45, G99="EM60",EOMONTH(E99,0)+60, G99="EM90",EOMONTH(E99,0)+90, G99="OA15",E99+15, G99="OA30",E99+30, G99="OA60",E99+60)</f>
        <v>46175</v>
      </c>
      <c r="G99" s="2" t="str">
        <f>VLOOKUP(C99,Vendor_list!A:D,3,0)</f>
        <v>OA30</v>
      </c>
      <c r="H99" s="3">
        <v>265500</v>
      </c>
      <c r="I99" s="4" t="s">
        <v>218</v>
      </c>
      <c r="J99" s="5" t="s">
        <v>219</v>
      </c>
      <c r="K99" s="8">
        <v>46183</v>
      </c>
      <c r="L99" s="6">
        <f>IF(J99="Paid",K99,IF(J99="Open",F99,F99+INDEX(Vendor_list!$F$2:$F$16,MATCH(B99,Vendor_list!$B$2:$B$16,0))*Weekly_Cash_Flow_Summary!$B$9))</f>
        <v>46183</v>
      </c>
    </row>
    <row r="100" spans="1:12" ht="15" customHeight="1" x14ac:dyDescent="0.2">
      <c r="A100" s="2" t="s">
        <v>328</v>
      </c>
      <c r="B100" s="2" t="str">
        <f>VLOOKUP(C100,Vendor_list!A:D,2,0)</f>
        <v>V00002</v>
      </c>
      <c r="C100" s="2" t="s">
        <v>212</v>
      </c>
      <c r="D100" s="2" t="str">
        <f>VLOOKUP(C100,Vendor_list!A:D,4,0)</f>
        <v>C</v>
      </c>
      <c r="E100" s="28">
        <v>46120</v>
      </c>
      <c r="F100" s="28">
        <f t="array" ref="F100">_xlfn.IFS(G100="EM15",EOMONTH(E100,0)+15, G100="EM30",EOMONTH(E100,0)+30, G100="EM45",EOMONTH(E100,0)+45, G100="EM60",EOMONTH(E100,0)+60, G100="EM90",EOMONTH(E100,0)+90, G100="OA15",E100+15, G100="OA30",E100+30, G100="OA60",E100+60)</f>
        <v>46232</v>
      </c>
      <c r="G100" s="2" t="str">
        <f>VLOOKUP(C100,Vendor_list!A:D,3,0)</f>
        <v>EM90</v>
      </c>
      <c r="H100" s="3">
        <v>122000</v>
      </c>
      <c r="I100" s="4" t="s">
        <v>213</v>
      </c>
      <c r="J100" s="5" t="s">
        <v>47</v>
      </c>
      <c r="K100" s="5"/>
      <c r="L100" s="6">
        <f>IF(J100="Paid",K100,IF(J100="Open",F100,F100+INDEX(Vendor_list!$F$2:$F$16,MATCH(B100,Vendor_list!$B$2:$B$16,0))*Weekly_Cash_Flow_Summary!$B$9))</f>
        <v>46234</v>
      </c>
    </row>
    <row r="101" spans="1:12" ht="15" customHeight="1" x14ac:dyDescent="0.2">
      <c r="A101" s="2" t="s">
        <v>329</v>
      </c>
      <c r="B101" s="2" t="str">
        <f>VLOOKUP(C101,Vendor_list!A:D,2,0)</f>
        <v>V00014</v>
      </c>
      <c r="C101" s="2" t="s">
        <v>227</v>
      </c>
      <c r="D101" s="2" t="str">
        <f>VLOOKUP(C101,Vendor_list!A:D,4,0)</f>
        <v>C</v>
      </c>
      <c r="E101" s="28">
        <v>46217</v>
      </c>
      <c r="F101" s="28">
        <f t="array" ref="F101">_xlfn.IFS(G101="EM15",EOMONTH(E101,0)+15, G101="EM30",EOMONTH(E101,0)+30, G101="EM45",EOMONTH(E101,0)+45, G101="EM60",EOMONTH(E101,0)+60, G101="EM90",EOMONTH(E101,0)+90, G101="OA15",E101+15, G101="OA30",E101+30, G101="OA60",E101+60)</f>
        <v>46232</v>
      </c>
      <c r="G101" s="2" t="str">
        <f>VLOOKUP(C101,Vendor_list!A:D,3,0)</f>
        <v>OA15</v>
      </c>
      <c r="H101" s="3">
        <v>100500</v>
      </c>
      <c r="I101" s="4" t="s">
        <v>225</v>
      </c>
      <c r="J101" s="5" t="s">
        <v>47</v>
      </c>
      <c r="K101" s="5"/>
      <c r="L101" s="6">
        <f>IF(J101="Paid",K101,IF(J101="Open",F101,F101+INDEX(Vendor_list!$F$2:$F$16,MATCH(B101,Vendor_list!$B$2:$B$16,0))*Weekly_Cash_Flow_Summary!$B$9))</f>
        <v>46247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zoomScaleNormal="100" workbookViewId="0">
      <selection activeCell="H27" sqref="H27"/>
    </sheetView>
  </sheetViews>
  <sheetFormatPr baseColWidth="10" defaultColWidth="8.6640625" defaultRowHeight="15" x14ac:dyDescent="0.2"/>
  <cols>
    <col min="1" max="1" width="25.33203125" bestFit="1" customWidth="1"/>
    <col min="2" max="3" width="14" bestFit="1" customWidth="1"/>
    <col min="4" max="4" width="10.33203125" bestFit="1" customWidth="1"/>
    <col min="5" max="5" width="12.83203125" bestFit="1" customWidth="1"/>
    <col min="6" max="6" width="10.6640625" bestFit="1" customWidth="1"/>
    <col min="7" max="7" width="18.6640625" bestFit="1" customWidth="1"/>
    <col min="8" max="8" width="17.5" bestFit="1" customWidth="1"/>
    <col min="10" max="10" width="7.6640625" bestFit="1" customWidth="1"/>
    <col min="11" max="11" width="14.1640625" bestFit="1" customWidth="1"/>
    <col min="12" max="12" width="17.5" bestFit="1" customWidth="1"/>
  </cols>
  <sheetData>
    <row r="1" spans="1:12" ht="15" customHeight="1" x14ac:dyDescent="0.2">
      <c r="A1" s="2" t="s">
        <v>12</v>
      </c>
      <c r="B1" s="2" t="s">
        <v>11</v>
      </c>
      <c r="C1" s="2" t="s">
        <v>16</v>
      </c>
      <c r="D1" s="2" t="s">
        <v>13</v>
      </c>
      <c r="E1" s="2" t="s">
        <v>196</v>
      </c>
      <c r="F1" s="2" t="s">
        <v>197</v>
      </c>
      <c r="G1" s="5" t="s">
        <v>18</v>
      </c>
      <c r="H1" s="1" t="s">
        <v>200</v>
      </c>
      <c r="J1" s="33" t="s">
        <v>198</v>
      </c>
      <c r="K1" s="33" t="s">
        <v>199</v>
      </c>
      <c r="L1" s="34" t="s">
        <v>200</v>
      </c>
    </row>
    <row r="2" spans="1:12" ht="15" customHeight="1" x14ac:dyDescent="0.2">
      <c r="A2" s="2" t="s">
        <v>101</v>
      </c>
      <c r="B2" s="2" t="s">
        <v>100</v>
      </c>
      <c r="C2" s="2" t="s">
        <v>69</v>
      </c>
      <c r="D2" s="36" t="s">
        <v>46</v>
      </c>
      <c r="E2" s="5" t="s">
        <v>201</v>
      </c>
      <c r="F2" s="3">
        <v>1150000</v>
      </c>
      <c r="G2" s="4">
        <f t="shared" ref="G2:G21" si="0">INDEX($K$2:$K$4,MATCH(E2,$J$2:$J$4,0))</f>
        <v>0.97</v>
      </c>
      <c r="H2" s="1">
        <f t="shared" ref="H2:H21" si="1">INDEX($L$2:$L$4,MATCH(E2,$J$2:$J$4,0))</f>
        <v>3</v>
      </c>
      <c r="J2" s="30" t="s">
        <v>201</v>
      </c>
      <c r="K2" s="32">
        <v>0.97</v>
      </c>
      <c r="L2" s="31">
        <v>3</v>
      </c>
    </row>
    <row r="3" spans="1:12" ht="15" customHeight="1" x14ac:dyDescent="0.2">
      <c r="A3" s="2" t="s">
        <v>64</v>
      </c>
      <c r="B3" s="2" t="s">
        <v>63</v>
      </c>
      <c r="C3" s="2" t="s">
        <v>65</v>
      </c>
      <c r="D3" s="36" t="s">
        <v>41</v>
      </c>
      <c r="E3" s="5" t="s">
        <v>202</v>
      </c>
      <c r="F3" s="3">
        <v>350000</v>
      </c>
      <c r="G3" s="4">
        <f t="shared" si="0"/>
        <v>0.9</v>
      </c>
      <c r="H3" s="1">
        <f t="shared" si="1"/>
        <v>10</v>
      </c>
      <c r="J3" s="30" t="s">
        <v>202</v>
      </c>
      <c r="K3" s="32">
        <v>0.9</v>
      </c>
      <c r="L3" s="31">
        <v>10</v>
      </c>
    </row>
    <row r="4" spans="1:12" ht="15" customHeight="1" x14ac:dyDescent="0.2">
      <c r="A4" s="2" t="s">
        <v>73</v>
      </c>
      <c r="B4" s="2" t="s">
        <v>72</v>
      </c>
      <c r="C4" s="2" t="s">
        <v>55</v>
      </c>
      <c r="D4" s="36" t="s">
        <v>26</v>
      </c>
      <c r="E4" s="5" t="s">
        <v>201</v>
      </c>
      <c r="F4" s="3">
        <v>550000</v>
      </c>
      <c r="G4" s="4">
        <f t="shared" si="0"/>
        <v>0.97</v>
      </c>
      <c r="H4" s="1">
        <f t="shared" si="1"/>
        <v>3</v>
      </c>
      <c r="J4" s="30" t="s">
        <v>203</v>
      </c>
      <c r="K4" s="32">
        <v>0.75</v>
      </c>
      <c r="L4" s="31">
        <v>25</v>
      </c>
    </row>
    <row r="5" spans="1:12" ht="15" customHeight="1" x14ac:dyDescent="0.2">
      <c r="A5" s="2" t="s">
        <v>88</v>
      </c>
      <c r="B5" s="2" t="s">
        <v>87</v>
      </c>
      <c r="C5" s="2" t="s">
        <v>55</v>
      </c>
      <c r="D5" s="36" t="s">
        <v>41</v>
      </c>
      <c r="E5" s="5" t="s">
        <v>202</v>
      </c>
      <c r="F5" s="3">
        <v>550000</v>
      </c>
      <c r="G5" s="4">
        <f t="shared" si="0"/>
        <v>0.9</v>
      </c>
      <c r="H5" s="1">
        <f t="shared" si="1"/>
        <v>10</v>
      </c>
    </row>
    <row r="6" spans="1:12" ht="15" customHeight="1" x14ac:dyDescent="0.2">
      <c r="A6" s="2" t="s">
        <v>45</v>
      </c>
      <c r="B6" s="2" t="s">
        <v>44</v>
      </c>
      <c r="C6" s="2" t="s">
        <v>35</v>
      </c>
      <c r="D6" s="36" t="s">
        <v>46</v>
      </c>
      <c r="E6" s="5" t="s">
        <v>203</v>
      </c>
      <c r="F6" s="3">
        <v>250000</v>
      </c>
      <c r="G6" s="4">
        <f t="shared" si="0"/>
        <v>0.75</v>
      </c>
      <c r="H6" s="1">
        <f t="shared" si="1"/>
        <v>25</v>
      </c>
    </row>
    <row r="7" spans="1:12" ht="15" customHeight="1" x14ac:dyDescent="0.2">
      <c r="A7" s="2" t="s">
        <v>95</v>
      </c>
      <c r="B7" s="2" t="s">
        <v>94</v>
      </c>
      <c r="C7" s="2" t="s">
        <v>55</v>
      </c>
      <c r="D7" s="36" t="s">
        <v>41</v>
      </c>
      <c r="E7" s="5" t="s">
        <v>202</v>
      </c>
      <c r="F7" s="3">
        <v>500000</v>
      </c>
      <c r="G7" s="4">
        <f t="shared" si="0"/>
        <v>0.9</v>
      </c>
      <c r="H7" s="1">
        <f t="shared" si="1"/>
        <v>10</v>
      </c>
    </row>
    <row r="8" spans="1:12" ht="15" customHeight="1" x14ac:dyDescent="0.2">
      <c r="A8" s="2" t="s">
        <v>25</v>
      </c>
      <c r="B8" s="2" t="s">
        <v>24</v>
      </c>
      <c r="C8" s="2" t="s">
        <v>27</v>
      </c>
      <c r="D8" s="36" t="s">
        <v>26</v>
      </c>
      <c r="E8" s="5" t="s">
        <v>201</v>
      </c>
      <c r="F8" s="3">
        <v>650000</v>
      </c>
      <c r="G8" s="4">
        <f t="shared" si="0"/>
        <v>0.97</v>
      </c>
      <c r="H8" s="1">
        <f t="shared" si="1"/>
        <v>3</v>
      </c>
    </row>
    <row r="9" spans="1:12" ht="15" customHeight="1" x14ac:dyDescent="0.2">
      <c r="A9" s="2" t="s">
        <v>59</v>
      </c>
      <c r="B9" s="2" t="s">
        <v>58</v>
      </c>
      <c r="C9" s="2" t="s">
        <v>35</v>
      </c>
      <c r="D9" s="36" t="s">
        <v>41</v>
      </c>
      <c r="E9" s="5" t="s">
        <v>202</v>
      </c>
      <c r="F9" s="3">
        <v>350000</v>
      </c>
      <c r="G9" s="4">
        <f t="shared" si="0"/>
        <v>0.9</v>
      </c>
      <c r="H9" s="1">
        <f t="shared" si="1"/>
        <v>10</v>
      </c>
    </row>
    <row r="10" spans="1:12" ht="15" customHeight="1" x14ac:dyDescent="0.2">
      <c r="A10" s="2" t="s">
        <v>31</v>
      </c>
      <c r="B10" s="2" t="s">
        <v>30</v>
      </c>
      <c r="C10" s="2" t="s">
        <v>27</v>
      </c>
      <c r="D10" s="36" t="s">
        <v>26</v>
      </c>
      <c r="E10" s="5" t="s">
        <v>202</v>
      </c>
      <c r="F10" s="3">
        <v>350000</v>
      </c>
      <c r="G10" s="4">
        <f t="shared" si="0"/>
        <v>0.9</v>
      </c>
      <c r="H10" s="1">
        <f t="shared" si="1"/>
        <v>10</v>
      </c>
    </row>
    <row r="11" spans="1:12" ht="15" customHeight="1" x14ac:dyDescent="0.2">
      <c r="A11" s="2" t="s">
        <v>77</v>
      </c>
      <c r="B11" s="2" t="s">
        <v>76</v>
      </c>
      <c r="C11" s="2" t="s">
        <v>35</v>
      </c>
      <c r="D11" s="36" t="s">
        <v>26</v>
      </c>
      <c r="E11" s="5" t="s">
        <v>201</v>
      </c>
      <c r="F11" s="3">
        <v>1100000</v>
      </c>
      <c r="G11" s="4">
        <f t="shared" si="0"/>
        <v>0.97</v>
      </c>
      <c r="H11" s="1">
        <f t="shared" si="1"/>
        <v>3</v>
      </c>
    </row>
    <row r="12" spans="1:12" ht="15" customHeight="1" x14ac:dyDescent="0.2">
      <c r="A12" s="2" t="s">
        <v>40</v>
      </c>
      <c r="B12" s="2" t="s">
        <v>39</v>
      </c>
      <c r="C12" s="2" t="s">
        <v>42</v>
      </c>
      <c r="D12" s="36" t="s">
        <v>41</v>
      </c>
      <c r="E12" s="5" t="s">
        <v>203</v>
      </c>
      <c r="F12" s="3">
        <v>300000</v>
      </c>
      <c r="G12" s="4">
        <f t="shared" si="0"/>
        <v>0.75</v>
      </c>
      <c r="H12" s="1">
        <f t="shared" si="1"/>
        <v>25</v>
      </c>
    </row>
    <row r="13" spans="1:12" ht="15" customHeight="1" x14ac:dyDescent="0.2">
      <c r="A13" s="2" t="s">
        <v>80</v>
      </c>
      <c r="B13" s="2" t="s">
        <v>79</v>
      </c>
      <c r="C13" s="2" t="s">
        <v>35</v>
      </c>
      <c r="D13" s="36" t="s">
        <v>41</v>
      </c>
      <c r="E13" s="5" t="s">
        <v>202</v>
      </c>
      <c r="F13" s="3">
        <v>300000</v>
      </c>
      <c r="G13" s="4">
        <f t="shared" si="0"/>
        <v>0.9</v>
      </c>
      <c r="H13" s="1">
        <f t="shared" si="1"/>
        <v>10</v>
      </c>
    </row>
    <row r="14" spans="1:12" ht="15" customHeight="1" x14ac:dyDescent="0.2">
      <c r="A14" s="2" t="s">
        <v>50</v>
      </c>
      <c r="B14" s="2" t="s">
        <v>49</v>
      </c>
      <c r="C14" s="2" t="s">
        <v>35</v>
      </c>
      <c r="D14" s="36" t="s">
        <v>41</v>
      </c>
      <c r="E14" s="5" t="s">
        <v>203</v>
      </c>
      <c r="F14" s="3">
        <v>100000</v>
      </c>
      <c r="G14" s="4">
        <f t="shared" si="0"/>
        <v>0.75</v>
      </c>
      <c r="H14" s="1">
        <f t="shared" si="1"/>
        <v>25</v>
      </c>
    </row>
    <row r="15" spans="1:12" ht="15" customHeight="1" x14ac:dyDescent="0.2">
      <c r="A15" s="2" t="s">
        <v>92</v>
      </c>
      <c r="B15" s="2" t="s">
        <v>91</v>
      </c>
      <c r="C15" s="2" t="s">
        <v>85</v>
      </c>
      <c r="D15" s="36" t="s">
        <v>26</v>
      </c>
      <c r="E15" s="5" t="s">
        <v>201</v>
      </c>
      <c r="F15" s="3">
        <v>600000</v>
      </c>
      <c r="G15" s="4">
        <f t="shared" si="0"/>
        <v>0.97</v>
      </c>
      <c r="H15" s="1">
        <f t="shared" si="1"/>
        <v>3</v>
      </c>
    </row>
    <row r="16" spans="1:12" ht="15" customHeight="1" x14ac:dyDescent="0.2">
      <c r="A16" s="2" t="s">
        <v>138</v>
      </c>
      <c r="B16" s="2" t="s">
        <v>137</v>
      </c>
      <c r="C16" s="2" t="s">
        <v>85</v>
      </c>
      <c r="D16" s="36" t="s">
        <v>41</v>
      </c>
      <c r="E16" s="5" t="s">
        <v>203</v>
      </c>
      <c r="F16" s="3">
        <v>200000</v>
      </c>
      <c r="G16" s="4">
        <f t="shared" si="0"/>
        <v>0.75</v>
      </c>
      <c r="H16" s="1">
        <f t="shared" si="1"/>
        <v>25</v>
      </c>
    </row>
    <row r="17" spans="1:8" ht="15" customHeight="1" x14ac:dyDescent="0.2">
      <c r="A17" s="2" t="s">
        <v>68</v>
      </c>
      <c r="B17" s="2" t="s">
        <v>67</v>
      </c>
      <c r="C17" s="2" t="s">
        <v>69</v>
      </c>
      <c r="D17" s="36" t="s">
        <v>41</v>
      </c>
      <c r="E17" s="5" t="s">
        <v>202</v>
      </c>
      <c r="F17" s="3">
        <v>500000</v>
      </c>
      <c r="G17" s="4">
        <f t="shared" si="0"/>
        <v>0.9</v>
      </c>
      <c r="H17" s="1">
        <f t="shared" si="1"/>
        <v>10</v>
      </c>
    </row>
    <row r="18" spans="1:8" ht="15" customHeight="1" x14ac:dyDescent="0.2">
      <c r="A18" s="2" t="s">
        <v>84</v>
      </c>
      <c r="B18" s="2" t="s">
        <v>83</v>
      </c>
      <c r="C18" s="2" t="s">
        <v>85</v>
      </c>
      <c r="D18" s="36" t="s">
        <v>46</v>
      </c>
      <c r="E18" s="5" t="s">
        <v>203</v>
      </c>
      <c r="F18" s="3">
        <v>350000</v>
      </c>
      <c r="G18" s="4">
        <f t="shared" si="0"/>
        <v>0.75</v>
      </c>
      <c r="H18" s="1">
        <f t="shared" si="1"/>
        <v>25</v>
      </c>
    </row>
    <row r="19" spans="1:8" ht="15" customHeight="1" x14ac:dyDescent="0.2">
      <c r="A19" s="2" t="s">
        <v>34</v>
      </c>
      <c r="B19" s="2" t="s">
        <v>33</v>
      </c>
      <c r="C19" s="2" t="s">
        <v>35</v>
      </c>
      <c r="D19" s="36" t="s">
        <v>26</v>
      </c>
      <c r="E19" s="5" t="s">
        <v>201</v>
      </c>
      <c r="F19" s="3">
        <v>1150000</v>
      </c>
      <c r="G19" s="4">
        <f t="shared" si="0"/>
        <v>0.97</v>
      </c>
      <c r="H19" s="1">
        <f t="shared" si="1"/>
        <v>3</v>
      </c>
    </row>
    <row r="20" spans="1:8" ht="15" customHeight="1" x14ac:dyDescent="0.2">
      <c r="A20" s="2" t="s">
        <v>162</v>
      </c>
      <c r="B20" s="2" t="s">
        <v>161</v>
      </c>
      <c r="C20" s="2" t="s">
        <v>35</v>
      </c>
      <c r="D20" s="36" t="s">
        <v>46</v>
      </c>
      <c r="E20" s="5" t="s">
        <v>202</v>
      </c>
      <c r="F20" s="3">
        <v>300000</v>
      </c>
      <c r="G20" s="4">
        <f t="shared" si="0"/>
        <v>0.9</v>
      </c>
      <c r="H20" s="1">
        <f t="shared" si="1"/>
        <v>10</v>
      </c>
    </row>
    <row r="21" spans="1:8" ht="15" customHeight="1" x14ac:dyDescent="0.2">
      <c r="A21" s="2" t="s">
        <v>54</v>
      </c>
      <c r="B21" s="2" t="s">
        <v>53</v>
      </c>
      <c r="C21" s="2" t="s">
        <v>55</v>
      </c>
      <c r="D21" s="36" t="s">
        <v>46</v>
      </c>
      <c r="E21" s="5" t="s">
        <v>201</v>
      </c>
      <c r="F21" s="3">
        <v>1100000</v>
      </c>
      <c r="G21" s="4">
        <f t="shared" si="0"/>
        <v>0.97</v>
      </c>
      <c r="H21" s="1">
        <f t="shared" si="1"/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zoomScaleNormal="100" workbookViewId="0">
      <selection activeCell="K21" sqref="K21"/>
    </sheetView>
  </sheetViews>
  <sheetFormatPr baseColWidth="10" defaultColWidth="8.6640625" defaultRowHeight="15" x14ac:dyDescent="0.2"/>
  <cols>
    <col min="1" max="1" width="25" bestFit="1" customWidth="1"/>
    <col min="2" max="2" width="12.33203125" bestFit="1" customWidth="1"/>
    <col min="3" max="3" width="14" bestFit="1" customWidth="1"/>
    <col min="4" max="4" width="10.33203125" bestFit="1" customWidth="1"/>
    <col min="5" max="5" width="7.6640625" bestFit="1" customWidth="1"/>
    <col min="6" max="6" width="17.5" bestFit="1" customWidth="1"/>
    <col min="8" max="8" width="7.6640625" bestFit="1" customWidth="1"/>
    <col min="9" max="9" width="17.5" bestFit="1" customWidth="1"/>
  </cols>
  <sheetData>
    <row r="1" spans="1:9" ht="15" customHeight="1" x14ac:dyDescent="0.2">
      <c r="A1" s="2" t="s">
        <v>205</v>
      </c>
      <c r="B1" s="2" t="s">
        <v>206</v>
      </c>
      <c r="C1" s="2" t="s">
        <v>16</v>
      </c>
      <c r="D1" s="2" t="s">
        <v>13</v>
      </c>
      <c r="E1" s="1" t="s">
        <v>208</v>
      </c>
      <c r="F1" s="1" t="s">
        <v>200</v>
      </c>
      <c r="H1" s="34" t="s">
        <v>208</v>
      </c>
      <c r="I1" s="34" t="s">
        <v>200</v>
      </c>
    </row>
    <row r="2" spans="1:9" ht="15" customHeight="1" x14ac:dyDescent="0.2">
      <c r="A2" s="2" t="s">
        <v>231</v>
      </c>
      <c r="B2" s="2" t="s">
        <v>330</v>
      </c>
      <c r="C2" s="2" t="s">
        <v>35</v>
      </c>
      <c r="D2" s="9" t="s">
        <v>26</v>
      </c>
      <c r="E2" s="1" t="s">
        <v>213</v>
      </c>
      <c r="F2" s="1">
        <f t="shared" ref="F2:F16" si="0">INDEX($I$2:$I$4,MATCH(E2,$H$2:$H$4,0))</f>
        <v>2</v>
      </c>
      <c r="H2" s="35" t="s">
        <v>213</v>
      </c>
      <c r="I2" s="31">
        <v>2</v>
      </c>
    </row>
    <row r="3" spans="1:9" ht="15" customHeight="1" x14ac:dyDescent="0.2">
      <c r="A3" s="2" t="s">
        <v>212</v>
      </c>
      <c r="B3" s="2" t="s">
        <v>331</v>
      </c>
      <c r="C3" s="2" t="s">
        <v>332</v>
      </c>
      <c r="D3" s="9" t="s">
        <v>46</v>
      </c>
      <c r="E3" s="1" t="s">
        <v>213</v>
      </c>
      <c r="F3" s="1">
        <f t="shared" si="0"/>
        <v>2</v>
      </c>
      <c r="H3" s="35" t="s">
        <v>218</v>
      </c>
      <c r="I3" s="31">
        <v>7</v>
      </c>
    </row>
    <row r="4" spans="1:9" ht="15" customHeight="1" x14ac:dyDescent="0.2">
      <c r="A4" s="2" t="s">
        <v>217</v>
      </c>
      <c r="B4" s="2" t="s">
        <v>333</v>
      </c>
      <c r="C4" s="2" t="s">
        <v>35</v>
      </c>
      <c r="D4" s="9" t="s">
        <v>46</v>
      </c>
      <c r="E4" s="1" t="s">
        <v>218</v>
      </c>
      <c r="F4" s="1">
        <f t="shared" si="0"/>
        <v>7</v>
      </c>
      <c r="H4" s="35" t="s">
        <v>225</v>
      </c>
      <c r="I4" s="31">
        <v>15</v>
      </c>
    </row>
    <row r="5" spans="1:9" ht="15" customHeight="1" x14ac:dyDescent="0.2">
      <c r="A5" s="2" t="s">
        <v>235</v>
      </c>
      <c r="B5" s="2" t="s">
        <v>334</v>
      </c>
      <c r="C5" s="2" t="s">
        <v>332</v>
      </c>
      <c r="D5" s="9" t="s">
        <v>41</v>
      </c>
      <c r="E5" s="1" t="s">
        <v>218</v>
      </c>
      <c r="F5" s="1">
        <f t="shared" si="0"/>
        <v>7</v>
      </c>
      <c r="G5" s="4"/>
    </row>
    <row r="6" spans="1:9" ht="15" customHeight="1" x14ac:dyDescent="0.2">
      <c r="A6" s="2" t="s">
        <v>240</v>
      </c>
      <c r="B6" s="2" t="s">
        <v>335</v>
      </c>
      <c r="C6" s="2" t="s">
        <v>69</v>
      </c>
      <c r="D6" s="9" t="s">
        <v>26</v>
      </c>
      <c r="E6" s="1" t="s">
        <v>213</v>
      </c>
      <c r="F6" s="1">
        <f t="shared" si="0"/>
        <v>2</v>
      </c>
      <c r="G6" s="4"/>
    </row>
    <row r="7" spans="1:9" ht="15" customHeight="1" x14ac:dyDescent="0.2">
      <c r="A7" s="2" t="s">
        <v>237</v>
      </c>
      <c r="B7" s="2" t="s">
        <v>336</v>
      </c>
      <c r="C7" s="2" t="s">
        <v>42</v>
      </c>
      <c r="D7" s="9" t="s">
        <v>41</v>
      </c>
      <c r="E7" s="1" t="s">
        <v>218</v>
      </c>
      <c r="F7" s="1">
        <f t="shared" si="0"/>
        <v>7</v>
      </c>
      <c r="G7" s="4"/>
    </row>
    <row r="8" spans="1:9" ht="15" customHeight="1" x14ac:dyDescent="0.2">
      <c r="A8" s="2" t="s">
        <v>221</v>
      </c>
      <c r="B8" s="2" t="s">
        <v>337</v>
      </c>
      <c r="C8" s="2" t="s">
        <v>42</v>
      </c>
      <c r="D8" s="9" t="s">
        <v>26</v>
      </c>
      <c r="E8" s="1" t="s">
        <v>213</v>
      </c>
      <c r="F8" s="1">
        <f t="shared" si="0"/>
        <v>2</v>
      </c>
      <c r="G8" s="4"/>
    </row>
    <row r="9" spans="1:9" ht="15" customHeight="1" x14ac:dyDescent="0.2">
      <c r="A9" s="2" t="s">
        <v>245</v>
      </c>
      <c r="B9" s="2" t="s">
        <v>338</v>
      </c>
      <c r="C9" s="2" t="s">
        <v>55</v>
      </c>
      <c r="D9" s="9" t="s">
        <v>46</v>
      </c>
      <c r="E9" s="1" t="s">
        <v>218</v>
      </c>
      <c r="F9" s="1">
        <f t="shared" si="0"/>
        <v>7</v>
      </c>
      <c r="G9" s="4"/>
    </row>
    <row r="10" spans="1:9" ht="15" customHeight="1" x14ac:dyDescent="0.2">
      <c r="A10" s="2" t="s">
        <v>233</v>
      </c>
      <c r="B10" s="2" t="s">
        <v>339</v>
      </c>
      <c r="C10" s="2" t="s">
        <v>65</v>
      </c>
      <c r="D10" s="9" t="s">
        <v>41</v>
      </c>
      <c r="E10" s="1" t="s">
        <v>218</v>
      </c>
      <c r="F10" s="1">
        <f t="shared" si="0"/>
        <v>7</v>
      </c>
      <c r="G10" s="4"/>
    </row>
    <row r="11" spans="1:9" ht="15" customHeight="1" x14ac:dyDescent="0.2">
      <c r="A11" s="2" t="s">
        <v>242</v>
      </c>
      <c r="B11" s="2" t="s">
        <v>340</v>
      </c>
      <c r="C11" s="2" t="s">
        <v>42</v>
      </c>
      <c r="D11" s="9" t="s">
        <v>46</v>
      </c>
      <c r="E11" s="1" t="s">
        <v>225</v>
      </c>
      <c r="F11" s="1">
        <f t="shared" si="0"/>
        <v>15</v>
      </c>
      <c r="G11" s="4"/>
    </row>
    <row r="12" spans="1:9" ht="15" customHeight="1" x14ac:dyDescent="0.2">
      <c r="A12" s="2" t="s">
        <v>215</v>
      </c>
      <c r="B12" s="2" t="s">
        <v>341</v>
      </c>
      <c r="C12" s="2" t="s">
        <v>332</v>
      </c>
      <c r="D12" s="9" t="s">
        <v>46</v>
      </c>
      <c r="E12" s="1" t="s">
        <v>213</v>
      </c>
      <c r="F12" s="1">
        <f t="shared" si="0"/>
        <v>2</v>
      </c>
      <c r="G12" s="4"/>
    </row>
    <row r="13" spans="1:9" ht="15" customHeight="1" x14ac:dyDescent="0.2">
      <c r="A13" s="2" t="s">
        <v>224</v>
      </c>
      <c r="B13" s="2" t="s">
        <v>342</v>
      </c>
      <c r="C13" s="2" t="s">
        <v>42</v>
      </c>
      <c r="D13" s="9" t="s">
        <v>41</v>
      </c>
      <c r="E13" s="1" t="s">
        <v>225</v>
      </c>
      <c r="F13" s="1">
        <f t="shared" si="0"/>
        <v>15</v>
      </c>
      <c r="G13" s="4"/>
    </row>
    <row r="14" spans="1:9" ht="15" customHeight="1" x14ac:dyDescent="0.2">
      <c r="A14" s="2" t="s">
        <v>264</v>
      </c>
      <c r="B14" s="2" t="s">
        <v>343</v>
      </c>
      <c r="C14" s="2" t="s">
        <v>35</v>
      </c>
      <c r="D14" s="9" t="s">
        <v>41</v>
      </c>
      <c r="E14" s="1" t="s">
        <v>225</v>
      </c>
      <c r="F14" s="1">
        <f t="shared" si="0"/>
        <v>15</v>
      </c>
      <c r="G14" s="4"/>
    </row>
    <row r="15" spans="1:9" ht="15" customHeight="1" x14ac:dyDescent="0.2">
      <c r="A15" s="2" t="s">
        <v>227</v>
      </c>
      <c r="B15" s="2" t="s">
        <v>344</v>
      </c>
      <c r="C15" s="2" t="s">
        <v>42</v>
      </c>
      <c r="D15" s="9" t="s">
        <v>46</v>
      </c>
      <c r="E15" s="1" t="s">
        <v>225</v>
      </c>
      <c r="F15" s="1">
        <f t="shared" si="0"/>
        <v>15</v>
      </c>
      <c r="G15" s="4"/>
    </row>
    <row r="16" spans="1:9" ht="15" customHeight="1" x14ac:dyDescent="0.2">
      <c r="A16" s="2" t="s">
        <v>254</v>
      </c>
      <c r="B16" s="2" t="s">
        <v>345</v>
      </c>
      <c r="C16" s="2" t="s">
        <v>65</v>
      </c>
      <c r="D16" s="9" t="s">
        <v>46</v>
      </c>
      <c r="E16" s="1" t="s">
        <v>225</v>
      </c>
      <c r="F16" s="1">
        <f t="shared" si="0"/>
        <v>15</v>
      </c>
      <c r="G16" s="4"/>
    </row>
    <row r="17" spans="6:6" x14ac:dyDescent="0.2">
      <c r="F17" s="1"/>
    </row>
    <row r="18" spans="6:6" x14ac:dyDescent="0.2">
      <c r="F18" s="1"/>
    </row>
    <row r="19" spans="6:6" x14ac:dyDescent="0.2">
      <c r="F19" s="1"/>
    </row>
    <row r="20" spans="6:6" x14ac:dyDescent="0.2">
      <c r="F20" s="1"/>
    </row>
    <row r="21" spans="6:6" x14ac:dyDescent="0.2">
      <c r="F21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Weekly_Cash_Flow_Summary</vt:lpstr>
      <vt:lpstr>Cash_Balance</vt:lpstr>
      <vt:lpstr>AR_detail</vt:lpstr>
      <vt:lpstr>AP_detail</vt:lpstr>
      <vt:lpstr>Customer_list</vt:lpstr>
      <vt:lpstr>Vendor_list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Rachel</cp:lastModifiedBy>
  <cp:revision>0</cp:revision>
  <dcterms:created xsi:type="dcterms:W3CDTF">2026-07-29T06:41:03Z</dcterms:created>
  <dcterms:modified xsi:type="dcterms:W3CDTF">2026-07-31T09:09:26Z</dcterms:modified>
  <dc:language>en-US</dc:language>
</cp:coreProperties>
</file>